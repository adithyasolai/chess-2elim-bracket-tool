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dithyasolai/Desktop/Professional/ChessClub/"/>
    </mc:Choice>
  </mc:AlternateContent>
  <xr:revisionPtr revIDLastSave="0" documentId="13_ncr:1_{64F35853-4EC8-9E4E-B6CC-F0D7240D5588}" xr6:coauthVersionLast="47" xr6:coauthVersionMax="47" xr10:uidLastSave="{00000000-0000-0000-0000-000000000000}"/>
  <bookViews>
    <workbookView xWindow="0" yWindow="760" windowWidth="34560" windowHeight="21580" xr2:uid="{FEB9CABE-EB07-E944-8654-BFA71B718EA1}"/>
  </bookViews>
  <sheets>
    <sheet name="Participants" sheetId="3" r:id="rId1"/>
    <sheet name="Rd1" sheetId="1" r:id="rId2"/>
    <sheet name="Rd2" sheetId="6" r:id="rId3"/>
    <sheet name="Rd3" sheetId="7" r:id="rId4"/>
    <sheet name="Rd4" sheetId="8" r:id="rId5"/>
    <sheet name="Rd5" sheetId="9" r:id="rId6"/>
    <sheet name="Rd6" sheetId="10" r:id="rId7"/>
    <sheet name="Rd7" sheetId="11" r:id="rId8"/>
    <sheet name="Rd8" sheetId="12" r:id="rId9"/>
    <sheet name="Utils" sheetId="4" r:id="rId10"/>
  </sheet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8" l="1"/>
  <c r="L3" i="12"/>
  <c r="M3" i="12"/>
  <c r="D4" i="12"/>
  <c r="L4" i="12" s="1"/>
  <c r="L17" i="11"/>
  <c r="K4" i="12" s="1"/>
  <c r="K18" i="11"/>
  <c r="M17" i="11"/>
  <c r="D18" i="11"/>
  <c r="L18" i="11"/>
  <c r="M18" i="11"/>
  <c r="L3" i="10"/>
  <c r="K3" i="12" s="1"/>
  <c r="M3" i="10"/>
  <c r="K17" i="11" s="1"/>
  <c r="D4" i="10"/>
  <c r="L4" i="10"/>
  <c r="M4" i="10"/>
  <c r="L17" i="10"/>
  <c r="K18" i="10"/>
  <c r="M17" i="10"/>
  <c r="D18" i="10"/>
  <c r="L18" i="10" s="1"/>
  <c r="L17" i="9"/>
  <c r="K17" i="10" s="1"/>
  <c r="K18" i="9"/>
  <c r="M17" i="9"/>
  <c r="D18" i="9"/>
  <c r="L18" i="9"/>
  <c r="M18" i="9"/>
  <c r="L20" i="9"/>
  <c r="M20" i="9"/>
  <c r="D21" i="9"/>
  <c r="L21" i="9"/>
  <c r="M21" i="9"/>
  <c r="K3" i="8"/>
  <c r="L3" i="8"/>
  <c r="K3" i="10" s="1"/>
  <c r="K4" i="8"/>
  <c r="M3" i="8"/>
  <c r="K17" i="9" s="1"/>
  <c r="D4" i="8"/>
  <c r="L4" i="8" s="1"/>
  <c r="L6" i="8"/>
  <c r="K4" i="10" s="1"/>
  <c r="M6" i="8"/>
  <c r="K20" i="9" s="1"/>
  <c r="D7" i="8"/>
  <c r="L7" i="8" s="1"/>
  <c r="K18" i="8"/>
  <c r="L17" i="8"/>
  <c r="M17" i="8"/>
  <c r="L18" i="8"/>
  <c r="M18" i="8"/>
  <c r="K20" i="8"/>
  <c r="L20" i="8"/>
  <c r="K21" i="9" s="1"/>
  <c r="M20" i="8"/>
  <c r="D21" i="8"/>
  <c r="L21" i="8"/>
  <c r="M21" i="8"/>
  <c r="L17" i="7"/>
  <c r="K17" i="8" s="1"/>
  <c r="M17" i="7"/>
  <c r="D18" i="7"/>
  <c r="L18" i="7" s="1"/>
  <c r="K20" i="7"/>
  <c r="K21" i="7"/>
  <c r="L20" i="7"/>
  <c r="M20" i="7"/>
  <c r="D21" i="7"/>
  <c r="L21" i="7"/>
  <c r="M21" i="7"/>
  <c r="L23" i="7"/>
  <c r="M23" i="7"/>
  <c r="D24" i="7"/>
  <c r="L24" i="7"/>
  <c r="M24" i="7"/>
  <c r="L26" i="7"/>
  <c r="K21" i="8" s="1"/>
  <c r="M26" i="7"/>
  <c r="D27" i="7"/>
  <c r="L27" i="7" s="1"/>
  <c r="L3" i="6"/>
  <c r="M3" i="6"/>
  <c r="K17" i="7" s="1"/>
  <c r="D4" i="6"/>
  <c r="L4" i="6" s="1"/>
  <c r="K7" i="6"/>
  <c r="E7" i="6" s="1"/>
  <c r="L6" i="6"/>
  <c r="M6" i="6"/>
  <c r="D7" i="6"/>
  <c r="L7" i="6"/>
  <c r="M7" i="6"/>
  <c r="K9" i="6"/>
  <c r="F9" i="6" s="1"/>
  <c r="E9" i="6"/>
  <c r="L9" i="6"/>
  <c r="K6" i="8" s="1"/>
  <c r="M9" i="6"/>
  <c r="K23" i="7" s="1"/>
  <c r="D10" i="6"/>
  <c r="M10" i="6" s="1"/>
  <c r="L10" i="6"/>
  <c r="L12" i="6"/>
  <c r="K7" i="8" s="1"/>
  <c r="K13" i="6"/>
  <c r="F13" i="6" s="1"/>
  <c r="M12" i="6"/>
  <c r="K26" i="7" s="1"/>
  <c r="D13" i="6"/>
  <c r="L13" i="6" s="1"/>
  <c r="E13" i="6"/>
  <c r="G13" i="6" s="1"/>
  <c r="K17" i="6"/>
  <c r="E17" i="6"/>
  <c r="F17" i="6"/>
  <c r="G17" i="6"/>
  <c r="L17" i="6"/>
  <c r="K18" i="7" s="1"/>
  <c r="K18" i="6"/>
  <c r="E18" i="6" s="1"/>
  <c r="M17" i="6"/>
  <c r="D18" i="6"/>
  <c r="L18" i="6"/>
  <c r="M18" i="6"/>
  <c r="L20" i="6"/>
  <c r="M20" i="6"/>
  <c r="D21" i="6"/>
  <c r="L21" i="6"/>
  <c r="M21" i="6"/>
  <c r="L23" i="6"/>
  <c r="K24" i="7" s="1"/>
  <c r="K24" i="6"/>
  <c r="M23" i="6"/>
  <c r="D24" i="6"/>
  <c r="L24" i="6" s="1"/>
  <c r="F24" i="6"/>
  <c r="L26" i="6"/>
  <c r="K27" i="7" s="1"/>
  <c r="M26" i="6"/>
  <c r="D27" i="6"/>
  <c r="L27" i="6"/>
  <c r="M27" i="6"/>
  <c r="M26" i="1"/>
  <c r="K27" i="6" s="1"/>
  <c r="M24" i="1"/>
  <c r="M23" i="1"/>
  <c r="K26" i="6" s="1"/>
  <c r="M20" i="1"/>
  <c r="M17" i="1"/>
  <c r="K23" i="6" s="1"/>
  <c r="M12" i="1"/>
  <c r="K21" i="6" s="1"/>
  <c r="M10" i="1"/>
  <c r="M9" i="1"/>
  <c r="K20" i="6" s="1"/>
  <c r="M7" i="1"/>
  <c r="M6" i="1"/>
  <c r="M3" i="1"/>
  <c r="L26" i="1"/>
  <c r="L23" i="1"/>
  <c r="K12" i="6" s="1"/>
  <c r="L20" i="1"/>
  <c r="K10" i="6" s="1"/>
  <c r="L17" i="1"/>
  <c r="L12" i="1"/>
  <c r="L9" i="1"/>
  <c r="K6" i="6" s="1"/>
  <c r="L6" i="1"/>
  <c r="K4" i="6" s="1"/>
  <c r="L3" i="1"/>
  <c r="K3" i="6" s="1"/>
  <c r="L13" i="1"/>
  <c r="L10" i="1"/>
  <c r="L7" i="1"/>
  <c r="L4" i="1"/>
  <c r="E3" i="1"/>
  <c r="F3" i="1"/>
  <c r="G3" i="1" s="1"/>
  <c r="D4" i="1"/>
  <c r="M4" i="1" s="1"/>
  <c r="F4" i="1"/>
  <c r="E6" i="1"/>
  <c r="F6" i="1"/>
  <c r="D7" i="1"/>
  <c r="F7" i="1" s="1"/>
  <c r="E7" i="1"/>
  <c r="G7" i="1" s="1"/>
  <c r="E9" i="1"/>
  <c r="F9" i="1"/>
  <c r="G9" i="1"/>
  <c r="D10" i="1"/>
  <c r="F10" i="1" s="1"/>
  <c r="E12" i="1"/>
  <c r="F12" i="1"/>
  <c r="D13" i="1"/>
  <c r="E13" i="1" s="1"/>
  <c r="E17" i="1"/>
  <c r="F17" i="1"/>
  <c r="G17" i="1"/>
  <c r="D18" i="1"/>
  <c r="E18" i="1" s="1"/>
  <c r="E20" i="1"/>
  <c r="G20" i="1" s="1"/>
  <c r="F20" i="1"/>
  <c r="D21" i="1"/>
  <c r="E21" i="1" s="1"/>
  <c r="E23" i="1"/>
  <c r="F23" i="1"/>
  <c r="D24" i="1"/>
  <c r="L24" i="1" s="1"/>
  <c r="E24" i="1"/>
  <c r="G24" i="1" s="1"/>
  <c r="F24" i="1"/>
  <c r="E26" i="1"/>
  <c r="F26" i="1"/>
  <c r="D27" i="1"/>
  <c r="E27" i="1" s="1"/>
  <c r="C26" i="1"/>
  <c r="C27" i="1" s="1"/>
  <c r="I27" i="1" s="1"/>
  <c r="C23" i="1"/>
  <c r="C24" i="1" s="1"/>
  <c r="H24" i="1" s="1"/>
  <c r="C20" i="1"/>
  <c r="C21" i="1" s="1"/>
  <c r="I21" i="1" s="1"/>
  <c r="C17" i="1"/>
  <c r="C18" i="1" s="1"/>
  <c r="I18" i="1" s="1"/>
  <c r="C12" i="1"/>
  <c r="C13" i="1" s="1"/>
  <c r="H13" i="1" s="1"/>
  <c r="C9" i="1"/>
  <c r="C10" i="1" s="1"/>
  <c r="I10" i="1" s="1"/>
  <c r="C6" i="1"/>
  <c r="C7" i="1" s="1"/>
  <c r="H7" i="1" s="1"/>
  <c r="C3" i="1"/>
  <c r="C4" i="1" s="1"/>
  <c r="H4" i="1" s="1"/>
  <c r="N17" i="6" s="1"/>
  <c r="K3" i="1"/>
  <c r="A18" i="10"/>
  <c r="A21" i="9"/>
  <c r="A20" i="9"/>
  <c r="A18" i="9"/>
  <c r="A17" i="9"/>
  <c r="A7" i="8"/>
  <c r="A6" i="8"/>
  <c r="A4" i="8"/>
  <c r="A3" i="8"/>
  <c r="A21" i="8"/>
  <c r="A18" i="8"/>
  <c r="A17" i="8"/>
  <c r="A7" i="1"/>
  <c r="A4" i="6"/>
  <c r="A4" i="1"/>
  <c r="A27" i="6"/>
  <c r="A13" i="6"/>
  <c r="A23" i="6"/>
  <c r="A3" i="1"/>
  <c r="A12" i="6"/>
  <c r="A10" i="1"/>
  <c r="A18" i="1"/>
  <c r="A6" i="1"/>
  <c r="A17" i="1"/>
  <c r="A18" i="7"/>
  <c r="A7" i="6"/>
  <c r="A21" i="6"/>
  <c r="A23" i="1"/>
  <c r="A20" i="6"/>
  <c r="A3" i="6"/>
  <c r="A21" i="7"/>
  <c r="A12" i="1"/>
  <c r="A27" i="1"/>
  <c r="A20" i="7"/>
  <c r="A24" i="6"/>
  <c r="A24" i="1"/>
  <c r="A6" i="6"/>
  <c r="A17" i="6"/>
  <c r="A18" i="6"/>
  <c r="A26" i="6"/>
  <c r="A26" i="1"/>
  <c r="A9" i="1"/>
  <c r="A21" i="1"/>
  <c r="A13" i="1"/>
  <c r="A20" i="1"/>
  <c r="A10" i="6"/>
  <c r="A9" i="6"/>
  <c r="E21" i="6" l="1"/>
  <c r="G21" i="6" s="1"/>
  <c r="F21" i="6"/>
  <c r="G9" i="6"/>
  <c r="F6" i="6"/>
  <c r="E6" i="6"/>
  <c r="G6" i="6" s="1"/>
  <c r="E27" i="6"/>
  <c r="F27" i="6"/>
  <c r="E20" i="7"/>
  <c r="E4" i="6"/>
  <c r="G4" i="6" s="1"/>
  <c r="F4" i="6"/>
  <c r="E26" i="6"/>
  <c r="F26" i="6"/>
  <c r="F18" i="7"/>
  <c r="E3" i="10"/>
  <c r="E20" i="6"/>
  <c r="F20" i="6"/>
  <c r="E23" i="6"/>
  <c r="G23" i="6" s="1"/>
  <c r="F23" i="6"/>
  <c r="F10" i="6"/>
  <c r="E10" i="6"/>
  <c r="E12" i="6"/>
  <c r="F12" i="6"/>
  <c r="E3" i="6"/>
  <c r="E23" i="7" s="1"/>
  <c r="F3" i="6"/>
  <c r="F26" i="7" s="1"/>
  <c r="E4" i="8"/>
  <c r="F4" i="8"/>
  <c r="E3" i="8"/>
  <c r="E24" i="6"/>
  <c r="G24" i="6" s="1"/>
  <c r="M27" i="1"/>
  <c r="F20" i="7"/>
  <c r="M13" i="1"/>
  <c r="F7" i="6"/>
  <c r="G7" i="6" s="1"/>
  <c r="M4" i="6"/>
  <c r="M7" i="8"/>
  <c r="N4" i="6"/>
  <c r="L18" i="1"/>
  <c r="F18" i="6"/>
  <c r="G18" i="6" s="1"/>
  <c r="M13" i="6"/>
  <c r="M4" i="12"/>
  <c r="G23" i="1"/>
  <c r="L21" i="1"/>
  <c r="M18" i="1"/>
  <c r="M24" i="6"/>
  <c r="M18" i="7"/>
  <c r="M18" i="10"/>
  <c r="N26" i="6"/>
  <c r="G12" i="1"/>
  <c r="E4" i="1"/>
  <c r="G4" i="1" s="1"/>
  <c r="M27" i="7"/>
  <c r="M4" i="8"/>
  <c r="N7" i="6"/>
  <c r="G6" i="1"/>
  <c r="L27" i="1"/>
  <c r="M21" i="1"/>
  <c r="F27" i="1"/>
  <c r="G27" i="1" s="1"/>
  <c r="F21" i="1"/>
  <c r="G26" i="1"/>
  <c r="G21" i="1"/>
  <c r="H17" i="1"/>
  <c r="N9" i="6" s="1"/>
  <c r="I13" i="1"/>
  <c r="H18" i="1"/>
  <c r="N23" i="6" s="1"/>
  <c r="I17" i="1"/>
  <c r="I9" i="1"/>
  <c r="H21" i="1"/>
  <c r="N10" i="6" s="1"/>
  <c r="I24" i="1"/>
  <c r="H27" i="1"/>
  <c r="N13" i="6" s="1"/>
  <c r="I12" i="1"/>
  <c r="H20" i="1"/>
  <c r="N24" i="6" s="1"/>
  <c r="H12" i="1"/>
  <c r="N21" i="6" s="1"/>
  <c r="E10" i="1"/>
  <c r="G10" i="1" s="1"/>
  <c r="H9" i="1"/>
  <c r="N6" i="6" s="1"/>
  <c r="I6" i="1"/>
  <c r="H6" i="1"/>
  <c r="I3" i="1"/>
  <c r="H3" i="1"/>
  <c r="N3" i="6" s="1"/>
  <c r="I26" i="1"/>
  <c r="F18" i="1"/>
  <c r="G18" i="1" s="1"/>
  <c r="H10" i="1"/>
  <c r="I7" i="1"/>
  <c r="H26" i="1"/>
  <c r="I23" i="1"/>
  <c r="F13" i="1"/>
  <c r="G13" i="1" s="1"/>
  <c r="I4" i="1"/>
  <c r="H23" i="1"/>
  <c r="N12" i="6" s="1"/>
  <c r="I20" i="1"/>
  <c r="A4" i="12"/>
  <c r="A3" i="12"/>
  <c r="A17" i="11"/>
  <c r="A18" i="11"/>
  <c r="A3" i="10"/>
  <c r="A4" i="10"/>
  <c r="A17" i="10"/>
  <c r="A20" i="8"/>
  <c r="A26" i="7"/>
  <c r="A17" i="7"/>
  <c r="A27" i="7"/>
  <c r="A23" i="7"/>
  <c r="A24" i="7"/>
  <c r="E26" i="7" l="1"/>
  <c r="G26" i="7" s="1"/>
  <c r="G20" i="7"/>
  <c r="F6" i="8"/>
  <c r="F27" i="7"/>
  <c r="F24" i="7"/>
  <c r="E6" i="8"/>
  <c r="E27" i="7"/>
  <c r="G27" i="7" s="1"/>
  <c r="G4" i="8"/>
  <c r="E18" i="7"/>
  <c r="G18" i="7" s="1"/>
  <c r="E24" i="7"/>
  <c r="F23" i="7"/>
  <c r="G23" i="7" s="1"/>
  <c r="F17" i="7"/>
  <c r="F7" i="8"/>
  <c r="G3" i="6"/>
  <c r="E17" i="7"/>
  <c r="E7" i="8"/>
  <c r="G7" i="8" s="1"/>
  <c r="G27" i="6"/>
  <c r="E18" i="11"/>
  <c r="E21" i="7"/>
  <c r="E21" i="9"/>
  <c r="G20" i="6"/>
  <c r="E4" i="10"/>
  <c r="F21" i="7"/>
  <c r="E3" i="12"/>
  <c r="G12" i="6"/>
  <c r="G26" i="6"/>
  <c r="F3" i="8"/>
  <c r="E18" i="9"/>
  <c r="G10" i="6"/>
  <c r="E17" i="11"/>
  <c r="E17" i="9"/>
  <c r="E20" i="9"/>
  <c r="N18" i="6"/>
  <c r="C17" i="6" s="1"/>
  <c r="N27" i="6"/>
  <c r="C26" i="6" s="1"/>
  <c r="N20" i="6"/>
  <c r="C3" i="6"/>
  <c r="C6" i="6"/>
  <c r="C23" i="6"/>
  <c r="G6" i="8" l="1"/>
  <c r="G17" i="7"/>
  <c r="E17" i="8"/>
  <c r="E21" i="8"/>
  <c r="E18" i="8"/>
  <c r="E20" i="8"/>
  <c r="F17" i="8"/>
  <c r="F18" i="8"/>
  <c r="F21" i="8"/>
  <c r="F20" i="8"/>
  <c r="F18" i="9"/>
  <c r="F20" i="9"/>
  <c r="G20" i="9" s="1"/>
  <c r="F17" i="9"/>
  <c r="F4" i="10"/>
  <c r="F21" i="9"/>
  <c r="F3" i="10"/>
  <c r="G24" i="7"/>
  <c r="G4" i="10"/>
  <c r="G3" i="8"/>
  <c r="E17" i="10"/>
  <c r="E18" i="10"/>
  <c r="E4" i="12"/>
  <c r="G21" i="9"/>
  <c r="G21" i="7"/>
  <c r="G18" i="9"/>
  <c r="I26" i="6"/>
  <c r="H26" i="6"/>
  <c r="N27" i="7" s="1"/>
  <c r="C27" i="6"/>
  <c r="H17" i="6"/>
  <c r="I17" i="6"/>
  <c r="C18" i="6"/>
  <c r="H23" i="6"/>
  <c r="N24" i="7" s="1"/>
  <c r="I23" i="6"/>
  <c r="C4" i="6"/>
  <c r="I3" i="6"/>
  <c r="H3" i="6"/>
  <c r="N3" i="8" s="1"/>
  <c r="C7" i="6"/>
  <c r="H6" i="6"/>
  <c r="I6" i="6"/>
  <c r="C20" i="6"/>
  <c r="C9" i="6"/>
  <c r="C12" i="6"/>
  <c r="C24" i="6"/>
  <c r="G18" i="8" l="1"/>
  <c r="G21" i="8"/>
  <c r="G20" i="8"/>
  <c r="G17" i="8"/>
  <c r="F18" i="11"/>
  <c r="G18" i="11" s="1"/>
  <c r="F17" i="11"/>
  <c r="F3" i="12"/>
  <c r="G3" i="12" s="1"/>
  <c r="G3" i="10"/>
  <c r="F17" i="10"/>
  <c r="G17" i="10" s="1"/>
  <c r="F18" i="10"/>
  <c r="G17" i="9"/>
  <c r="G18" i="10"/>
  <c r="N18" i="7"/>
  <c r="N20" i="7"/>
  <c r="H18" i="6"/>
  <c r="I18" i="6"/>
  <c r="H24" i="6"/>
  <c r="I24" i="6"/>
  <c r="H4" i="6"/>
  <c r="I4" i="6"/>
  <c r="H12" i="6"/>
  <c r="N7" i="8" s="1"/>
  <c r="I12" i="6"/>
  <c r="H9" i="6"/>
  <c r="N6" i="8" s="1"/>
  <c r="I9" i="6"/>
  <c r="C21" i="6"/>
  <c r="H20" i="6"/>
  <c r="I20" i="6"/>
  <c r="I27" i="6"/>
  <c r="H27" i="6"/>
  <c r="H7" i="6"/>
  <c r="I7" i="6"/>
  <c r="C10" i="6"/>
  <c r="C13" i="6"/>
  <c r="F4" i="12" l="1"/>
  <c r="G4" i="12" s="1"/>
  <c r="G17" i="11"/>
  <c r="N4" i="8"/>
  <c r="C3" i="8" s="1"/>
  <c r="C6" i="8"/>
  <c r="N17" i="7"/>
  <c r="C17" i="7" s="1"/>
  <c r="H10" i="6"/>
  <c r="I10" i="6"/>
  <c r="H21" i="6"/>
  <c r="I21" i="6"/>
  <c r="H13" i="6"/>
  <c r="I13" i="6"/>
  <c r="H3" i="8" l="1"/>
  <c r="N3" i="10" s="1"/>
  <c r="I3" i="8"/>
  <c r="C4" i="8"/>
  <c r="I6" i="8"/>
  <c r="H6" i="8"/>
  <c r="N20" i="9" s="1"/>
  <c r="C7" i="8"/>
  <c r="H17" i="7"/>
  <c r="N17" i="8" s="1"/>
  <c r="I17" i="7"/>
  <c r="C18" i="7"/>
  <c r="N26" i="7"/>
  <c r="C26" i="7" s="1"/>
  <c r="N21" i="7"/>
  <c r="C20" i="7" s="1"/>
  <c r="N23" i="7"/>
  <c r="C23" i="7" s="1"/>
  <c r="I7" i="8" l="1"/>
  <c r="H7" i="8"/>
  <c r="N4" i="10" s="1"/>
  <c r="H4" i="8"/>
  <c r="I4" i="8"/>
  <c r="H23" i="7"/>
  <c r="N20" i="8" s="1"/>
  <c r="I23" i="7"/>
  <c r="C24" i="7"/>
  <c r="H20" i="7"/>
  <c r="I20" i="7"/>
  <c r="C21" i="7"/>
  <c r="H26" i="7"/>
  <c r="I26" i="7"/>
  <c r="C27" i="7"/>
  <c r="H18" i="7"/>
  <c r="I18" i="7"/>
  <c r="N17" i="9" l="1"/>
  <c r="N21" i="8"/>
  <c r="C20" i="8" s="1"/>
  <c r="H27" i="7"/>
  <c r="I27" i="7"/>
  <c r="H24" i="7"/>
  <c r="I24" i="7"/>
  <c r="H21" i="7"/>
  <c r="I21" i="7"/>
  <c r="N18" i="8" l="1"/>
  <c r="C17" i="8" s="1"/>
  <c r="I20" i="8"/>
  <c r="H20" i="8"/>
  <c r="C21" i="8"/>
  <c r="H21" i="8" l="1"/>
  <c r="I21" i="8"/>
  <c r="H17" i="8"/>
  <c r="I17" i="8"/>
  <c r="C18" i="8"/>
  <c r="N21" i="9" l="1"/>
  <c r="C20" i="9" s="1"/>
  <c r="H18" i="8"/>
  <c r="I18" i="8"/>
  <c r="I20" i="9" l="1"/>
  <c r="H20" i="9"/>
  <c r="C21" i="9"/>
  <c r="N18" i="9"/>
  <c r="C17" i="9" s="1"/>
  <c r="C3" i="10"/>
  <c r="H3" i="10" l="1"/>
  <c r="N3" i="12" s="1"/>
  <c r="I3" i="10"/>
  <c r="N18" i="10"/>
  <c r="H17" i="9"/>
  <c r="I17" i="9"/>
  <c r="C18" i="9"/>
  <c r="C4" i="10"/>
  <c r="I21" i="9"/>
  <c r="H21" i="9"/>
  <c r="N17" i="10" l="1"/>
  <c r="C17" i="10" s="1"/>
  <c r="H4" i="10"/>
  <c r="I4" i="10"/>
  <c r="H18" i="9"/>
  <c r="I18" i="9"/>
  <c r="N17" i="11" l="1"/>
  <c r="C18" i="10"/>
  <c r="H17" i="10"/>
  <c r="I17" i="10"/>
  <c r="N18" i="11" l="1"/>
  <c r="C17" i="11" s="1"/>
  <c r="H18" i="10"/>
  <c r="I18" i="10"/>
  <c r="I17" i="11" l="1"/>
  <c r="H17" i="11"/>
  <c r="C18" i="11"/>
  <c r="N4" i="12" l="1"/>
  <c r="C3" i="12" s="1"/>
  <c r="I18" i="11"/>
  <c r="H18" i="11"/>
  <c r="C4" i="12" l="1"/>
  <c r="H3" i="12"/>
  <c r="I3" i="12"/>
  <c r="I4" i="12" l="1"/>
  <c r="H4" i="12"/>
</calcChain>
</file>

<file path=xl/sharedStrings.xml><?xml version="1.0" encoding="utf-8"?>
<sst xmlns="http://schemas.openxmlformats.org/spreadsheetml/2006/main" count="139" uniqueCount="33">
  <si>
    <t>WINNERS BRACKET</t>
  </si>
  <si>
    <t>SEED</t>
  </si>
  <si>
    <t>NAME</t>
  </si>
  <si>
    <t>COLOR</t>
  </si>
  <si>
    <t>RECORD</t>
  </si>
  <si>
    <t>BOARD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</si>
  <si>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</si>
  <si>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</si>
  <si>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</si>
  <si>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</si>
  <si>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</si>
  <si>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</si>
  <si>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</si>
  <si>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</si>
  <si>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</si>
  <si>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</si>
  <si>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</si>
  <si>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</si>
  <si>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</si>
  <si>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</si>
  <si>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</si>
  <si>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</si>
  <si>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# WINS</t>
  </si>
  <si>
    <t># LOSSES</t>
  </si>
  <si>
    <t>RESULT</t>
  </si>
  <si>
    <t>Win/Loss Dropdown Options</t>
  </si>
  <si>
    <t>W</t>
  </si>
  <si>
    <t># BLACK</t>
  </si>
  <si>
    <t># WHITE</t>
  </si>
  <si>
    <t>LOSERS BRACKET</t>
  </si>
  <si>
    <t>WINNER</t>
  </si>
  <si>
    <t>LOSER</t>
  </si>
  <si>
    <t># WHITE BEFORE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</si>
</sst>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DE960-9D7A-934D-B783-FF56C2FB7399}">
  <sheetPr codeName="Sheet1"/>
  <dimension ref="A1:B17"/>
  <sheetViews>
    <sheetView tabSelected="1" zoomScale="160" zoomScaleNormal="160" workbookViewId="0">
      <selection activeCell="B18" sqref="B18"/>
    </sheetView>
  </sheetViews>
  <sheetFormatPr baseColWidth="10" defaultRowHeight="16" x14ac:dyDescent="0.2"/>
  <cols>
    <col min="2" max="2" width="23.5" style="2" customWidth="1"/>
  </cols>
  <sheetData>
    <row r="1" spans="1:2" x14ac:dyDescent="0.2">
      <c r="A1" s="1" t="s">
        <v>1</v>
      </c>
      <c r="B1" s="1" t="s">
        <v>2</v>
      </c>
    </row>
    <row r="2" spans="1:2" x14ac:dyDescent="0.2">
      <c r="A2" s="2">
        <v>1</v>
      </c>
      <c r="B2" s="2" t="s">
        <v>6</v>
      </c>
    </row>
    <row r="3" spans="1:2" x14ac:dyDescent="0.2">
      <c r="A3" s="2">
        <v>2</v>
      </c>
      <c r="B3" s="2" t="s">
        <v>7</v>
      </c>
    </row>
    <row r="4" spans="1:2" x14ac:dyDescent="0.2">
      <c r="A4" s="2">
        <v>3</v>
      </c>
      <c r="B4" s="2" t="s">
        <v>8</v>
      </c>
    </row>
    <row r="5" spans="1:2" x14ac:dyDescent="0.2">
      <c r="A5" s="2">
        <v>4</v>
      </c>
      <c r="B5" s="2" t="s">
        <v>9</v>
      </c>
    </row>
    <row r="6" spans="1:2" x14ac:dyDescent="0.2">
      <c r="A6" s="2">
        <v>5</v>
      </c>
      <c r="B6" s="2" t="s">
        <v>10</v>
      </c>
    </row>
    <row r="7" spans="1:2" x14ac:dyDescent="0.2">
      <c r="A7" s="2">
        <v>6</v>
      </c>
      <c r="B7" s="2" t="s">
        <v>11</v>
      </c>
    </row>
    <row r="8" spans="1:2" x14ac:dyDescent="0.2">
      <c r="A8" s="2">
        <v>7</v>
      </c>
      <c r="B8" s="2" t="s">
        <v>12</v>
      </c>
    </row>
    <row r="9" spans="1:2" x14ac:dyDescent="0.2">
      <c r="A9" s="2">
        <v>8</v>
      </c>
      <c r="B9" s="2" t="s">
        <v>13</v>
      </c>
    </row>
    <row r="10" spans="1:2" x14ac:dyDescent="0.2">
      <c r="A10" s="2">
        <v>9</v>
      </c>
      <c r="B10" s="2" t="s">
        <v>14</v>
      </c>
    </row>
    <row r="11" spans="1:2" x14ac:dyDescent="0.2">
      <c r="A11" s="2">
        <v>10</v>
      </c>
      <c r="B11" s="2" t="s">
        <v>15</v>
      </c>
    </row>
    <row r="12" spans="1:2" x14ac:dyDescent="0.2">
      <c r="A12" s="2">
        <v>11</v>
      </c>
      <c r="B12" s="2" t="s">
        <v>16</v>
      </c>
    </row>
    <row r="13" spans="1:2" x14ac:dyDescent="0.2">
      <c r="A13" s="2">
        <v>12</v>
      </c>
      <c r="B13" s="2" t="s">
        <v>17</v>
      </c>
    </row>
    <row r="14" spans="1:2" x14ac:dyDescent="0.2">
      <c r="A14" s="2">
        <v>13</v>
      </c>
      <c r="B14" s="2" t="s">
        <v>18</v>
      </c>
    </row>
    <row r="15" spans="1:2" x14ac:dyDescent="0.2">
      <c r="A15" s="2">
        <v>14</v>
      </c>
      <c r="B15" s="2" t="s">
        <v>19</v>
      </c>
    </row>
    <row r="16" spans="1:2" x14ac:dyDescent="0.2">
      <c r="A16" s="2">
        <v>15</v>
      </c>
      <c r="B16" s="2" t="s">
        <v>20</v>
      </c>
    </row>
    <row r="17" spans="1:2" x14ac:dyDescent="0.2">
      <c r="A17" s="2">
        <v>16</v>
      </c>
      <c r="B17" s="2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F9784-4F0E-8049-A8BE-BAEB6A0F254D}">
  <sheetPr codeName="Sheet2"/>
  <dimension ref="A1:M27"/>
  <sheetViews>
    <sheetView zoomScale="140" zoomScaleNormal="140" workbookViewId="0">
      <selection activeCell="D26" sqref="D26"/>
    </sheetView>
  </sheetViews>
  <sheetFormatPr baseColWidth="10" defaultRowHeight="16" x14ac:dyDescent="0.2"/>
  <cols>
    <col min="1" max="1" width="25.5" style="2" customWidth="1"/>
    <col min="2" max="2" width="17.83203125" style="2" customWidth="1"/>
    <col min="3" max="5" width="17.6640625" style="2" bestFit="1" customWidth="1"/>
    <col min="6" max="6" width="15.1640625" style="2" customWidth="1"/>
    <col min="7" max="7" width="16.33203125" style="2" customWidth="1"/>
    <col min="8" max="8" width="10.5" style="2" customWidth="1"/>
    <col min="9" max="9" width="10.1640625" customWidth="1"/>
    <col min="10" max="10" width="10.83203125" style="6"/>
  </cols>
  <sheetData>
    <row r="1" spans="1:13" x14ac:dyDescent="0.2">
      <c r="A1" s="1" t="s">
        <v>0</v>
      </c>
    </row>
    <row r="2" spans="1:13" x14ac:dyDescent="0.2">
      <c r="A2" s="1" t="s">
        <v>2</v>
      </c>
      <c r="B2" s="1" t="s">
        <v>5</v>
      </c>
      <c r="C2" s="1" t="s">
        <v>3</v>
      </c>
      <c r="D2" s="4" t="s">
        <v>24</v>
      </c>
      <c r="E2" s="1" t="s">
        <v>22</v>
      </c>
      <c r="F2" s="1" t="s">
        <v>23</v>
      </c>
      <c r="G2" s="1" t="s">
        <v>4</v>
      </c>
      <c r="H2" s="1" t="s">
        <v>28</v>
      </c>
      <c r="I2" s="1" t="s">
        <v>27</v>
      </c>
      <c r="K2" s="1" t="s">
        <v>1</v>
      </c>
      <c r="L2" s="1" t="s">
        <v>30</v>
      </c>
      <c r="M2" s="1" t="s">
        <v>31</v>
      </c>
    </row>
    <row r="3" spans="1:13" x14ac:dyDescent="0.2">
      <c r="A3" s="3" t="str">
        <f ca="1">INDIRECT("Participants!B"&amp;SUM(K3+1))</f>
        <v>A</v>
      </c>
      <c r="B3" s="2">
        <v>1</v>
      </c>
      <c r="C3" s="2" t="str">
        <f ca="1">IF(RANDBETWEEN(0, 1), "White", "Black")</f>
        <v>Black</v>
      </c>
      <c r="E3" s="2">
        <f>IF(ISBLANK(D3), 0, IF(D3="W", 1, 0))</f>
        <v>0</v>
      </c>
      <c r="F3" s="2">
        <f>IF(ISBLANK(D3), 0, IF(D3="L", 1, 0))</f>
        <v>0</v>
      </c>
      <c r="G3" s="2" t="str">
        <f>E3&amp;" - "&amp;F3</f>
        <v>0 - 0</v>
      </c>
      <c r="H3" s="2">
        <f ca="1">IF(C3="White",1,0)</f>
        <v>0</v>
      </c>
      <c r="I3" s="2">
        <f ca="1">IF(C3="Black",1,0)</f>
        <v>1</v>
      </c>
      <c r="K3" s="2">
        <f>Participants!A2</f>
        <v>1</v>
      </c>
      <c r="L3" t="str">
        <f>IF(LEN(D3)=0,"",IF(D3="W", K3,K4))</f>
        <v/>
      </c>
      <c r="M3" t="str">
        <f>IF(LEN(D3)=0,"",IF(D3="W", K4,K3))</f>
        <v/>
      </c>
    </row>
    <row r="4" spans="1:13" x14ac:dyDescent="0.2">
      <c r="A4" s="3" t="str">
        <f ca="1">INDIRECT("Participants!B"&amp;SUM(K4+1))</f>
        <v>P</v>
      </c>
      <c r="B4" s="2">
        <v>1</v>
      </c>
      <c r="C4" s="2" t="str">
        <f ca="1">IF(C3="White", "Black", "White")</f>
        <v>White</v>
      </c>
      <c r="D4" s="2" t="str">
        <f>IF(ISBLANK(D3),"",IF(D3="W","L","W"))</f>
        <v/>
      </c>
      <c r="E4" s="2">
        <f>IF(ISBLANK(D4), 0, IF(D4="W", 1, 0))</f>
        <v>0</v>
      </c>
      <c r="F4" s="2">
        <f>IF(ISBLANK(D4), 0, IF(D4="L", 1, 0))</f>
        <v>0</v>
      </c>
      <c r="G4" s="2" t="str">
        <f>E4&amp;" - "&amp;F4</f>
        <v>0 - 0</v>
      </c>
      <c r="H4" s="2">
        <f ca="1">IF(C4="White",1,0)</f>
        <v>1</v>
      </c>
      <c r="I4" s="2">
        <f ca="1">IF(C4="Black",1,0)</f>
        <v>0</v>
      </c>
      <c r="K4" s="2">
        <v>16</v>
      </c>
      <c r="L4" t="str">
        <f>IF(LEN(D4)=0,"",IF(D4="W", K4,K3))</f>
        <v/>
      </c>
      <c r="M4" t="str">
        <f>IF(LEN(D4)=0,"",IF(D4="W", K3,K4))</f>
        <v/>
      </c>
    </row>
    <row r="5" spans="1:13" x14ac:dyDescent="0.2">
      <c r="K5" s="2"/>
    </row>
    <row r="6" spans="1:13" x14ac:dyDescent="0.2">
      <c r="A6" s="3" t="str">
        <f ca="1">INDIRECT("Participants!B"&amp;SUM(K6+1))</f>
        <v>B</v>
      </c>
      <c r="B6" s="2">
        <v>2</v>
      </c>
      <c r="C6" s="2" t="str">
        <f ca="1">IF(RANDBETWEEN(0, 1), "White", "Black")</f>
        <v>White</v>
      </c>
      <c r="E6" s="2">
        <f>IF(ISBLANK(D6), 0, IF(D6="W", 1, 0))</f>
        <v>0</v>
      </c>
      <c r="F6" s="2">
        <f>IF(ISBLANK(D6), 0, IF(D6="L", 1, 0))</f>
        <v>0</v>
      </c>
      <c r="G6" s="2" t="str">
        <f t="shared" ref="G6:G7" si="0">E6&amp;" - "&amp;F6</f>
        <v>0 - 0</v>
      </c>
      <c r="H6" s="2">
        <f ca="1">IF(C6="White",1,0)</f>
        <v>1</v>
      </c>
      <c r="I6" s="2">
        <f ca="1">IF(C6="Black",1,0)</f>
        <v>0</v>
      </c>
      <c r="K6" s="2">
        <v>2</v>
      </c>
      <c r="L6" t="str">
        <f>IF(LEN(D6)=0,"",IF(D6="W", K6,K7))</f>
        <v/>
      </c>
      <c r="M6" t="str">
        <f>IF(LEN(D6)=0,"",IF(D6="W", K7,K6))</f>
        <v/>
      </c>
    </row>
    <row r="7" spans="1:13" x14ac:dyDescent="0.2">
      <c r="A7" s="3" t="str">
        <f ca="1">INDIRECT("Participants!B"&amp;SUM(K7+1))</f>
        <v>O</v>
      </c>
      <c r="B7" s="2">
        <v>2</v>
      </c>
      <c r="C7" s="2" t="str">
        <f ca="1">IF(C6="White", "Black", "White")</f>
        <v>Black</v>
      </c>
      <c r="D7" s="2" t="str">
        <f>IF(ISBLANK(D6),"",IF(D6="W","L","W"))</f>
        <v/>
      </c>
      <c r="E7" s="2">
        <f>IF(ISBLANK(D7), 0, IF(D7="W", 1, 0))</f>
        <v>0</v>
      </c>
      <c r="F7" s="2">
        <f>IF(ISBLANK(D7), 0, IF(D7="L", 1, 0))</f>
        <v>0</v>
      </c>
      <c r="G7" s="2" t="str">
        <f t="shared" si="0"/>
        <v>0 - 0</v>
      </c>
      <c r="H7" s="2">
        <f ca="1">IF(C7="White",1,0)</f>
        <v>0</v>
      </c>
      <c r="I7" s="2">
        <f ca="1">IF(C7="Black",1,0)</f>
        <v>1</v>
      </c>
      <c r="K7" s="2">
        <v>15</v>
      </c>
      <c r="L7" t="str">
        <f>IF(LEN(D7)=0,"",IF(D7="W", K7,K6))</f>
        <v/>
      </c>
      <c r="M7" t="str">
        <f>IF(LEN(D7)=0,"",IF(D7="W", K6,K7))</f>
        <v/>
      </c>
    </row>
    <row r="8" spans="1:13" x14ac:dyDescent="0.2">
      <c r="K8" s="2"/>
    </row>
    <row r="9" spans="1:13" x14ac:dyDescent="0.2">
      <c r="A9" s="3" t="str">
        <f ca="1">INDIRECT("Participants!B"&amp;SUM(K9+1))</f>
        <v>C</v>
      </c>
      <c r="B9" s="2">
        <v>3</v>
      </c>
      <c r="C9" s="2" t="str">
        <f ca="1">IF(RANDBETWEEN(0, 1), "White", "Black")</f>
        <v>White</v>
      </c>
      <c r="E9" s="2">
        <f>IF(ISBLANK(D9), 0, IF(D9="W", 1, 0))</f>
        <v>0</v>
      </c>
      <c r="F9" s="2">
        <f>IF(ISBLANK(D9), 0, IF(D9="L", 1, 0))</f>
        <v>0</v>
      </c>
      <c r="G9" s="2" t="str">
        <f t="shared" ref="G9:G10" si="1">E9&amp;" - "&amp;F9</f>
        <v>0 - 0</v>
      </c>
      <c r="H9" s="2">
        <f t="shared" ref="H9:H10" ca="1" si="2">IF(C9="White",1,0)</f>
        <v>1</v>
      </c>
      <c r="I9" s="2">
        <f t="shared" ref="I9:I10" ca="1" si="3">IF(C9="Black",1,0)</f>
        <v>0</v>
      </c>
      <c r="K9" s="2">
        <v>3</v>
      </c>
      <c r="L9" t="str">
        <f>IF(LEN(D9)=0,"",IF(D9="W", K9,K10))</f>
        <v/>
      </c>
      <c r="M9" t="str">
        <f>IF(LEN(D9)=0,"",IF(D9="W", K10,K9))</f>
        <v/>
      </c>
    </row>
    <row r="10" spans="1:13" x14ac:dyDescent="0.2">
      <c r="A10" s="3" t="str">
        <f ca="1">INDIRECT("Participants!B"&amp;SUM(K10+1))</f>
        <v>N</v>
      </c>
      <c r="B10" s="2">
        <v>3</v>
      </c>
      <c r="C10" s="2" t="str">
        <f ca="1">IF(C9="White", "Black", "White")</f>
        <v>Black</v>
      </c>
      <c r="D10" s="2" t="str">
        <f>IF(ISBLANK(D9),"",IF(D9="W","L","W"))</f>
        <v/>
      </c>
      <c r="E10" s="2">
        <f>IF(ISBLANK(D10), 0, IF(D10="W", 1, 0))</f>
        <v>0</v>
      </c>
      <c r="F10" s="2">
        <f>IF(ISBLANK(D10), 0, IF(D10="L", 1, 0))</f>
        <v>0</v>
      </c>
      <c r="G10" s="2" t="str">
        <f t="shared" si="1"/>
        <v>0 - 0</v>
      </c>
      <c r="H10" s="2">
        <f t="shared" ca="1" si="2"/>
        <v>0</v>
      </c>
      <c r="I10" s="2">
        <f t="shared" ca="1" si="3"/>
        <v>1</v>
      </c>
      <c r="K10" s="2">
        <v>14</v>
      </c>
      <c r="L10" t="str">
        <f>IF(LEN(D10)=0,"",IF(D10="W", K10,K9))</f>
        <v/>
      </c>
      <c r="M10" t="str">
        <f>IF(LEN(D10)=0,"",IF(D10="W", K9,K10))</f>
        <v/>
      </c>
    </row>
    <row r="11" spans="1:13" x14ac:dyDescent="0.2">
      <c r="K11" s="2"/>
    </row>
    <row r="12" spans="1:13" x14ac:dyDescent="0.2">
      <c r="A12" s="3" t="str">
        <f ca="1">INDIRECT("Participants!B"&amp;SUM(K12+1))</f>
        <v>D</v>
      </c>
      <c r="B12" s="2">
        <v>4</v>
      </c>
      <c r="C12" s="2" t="str">
        <f ca="1">IF(RANDBETWEEN(0, 1), "White", "Black")</f>
        <v>White</v>
      </c>
      <c r="E12" s="2">
        <f>IF(ISBLANK(D12), 0, IF(D12="W", 1, 0))</f>
        <v>0</v>
      </c>
      <c r="F12" s="2">
        <f>IF(ISBLANK(D12), 0, IF(D12="L", 1, 0))</f>
        <v>0</v>
      </c>
      <c r="G12" s="2" t="str">
        <f t="shared" ref="G12:G13" si="4">E12&amp;" - "&amp;F12</f>
        <v>0 - 0</v>
      </c>
      <c r="H12" s="2">
        <f t="shared" ref="H12:H13" ca="1" si="5">IF(C12="White",1,0)</f>
        <v>1</v>
      </c>
      <c r="I12" s="2">
        <f t="shared" ref="I12:I13" ca="1" si="6">IF(C12="Black",1,0)</f>
        <v>0</v>
      </c>
      <c r="K12" s="2">
        <v>4</v>
      </c>
      <c r="L12" t="str">
        <f>IF(LEN(D12)=0,"",IF(D12="W", K12,K13))</f>
        <v/>
      </c>
      <c r="M12" t="str">
        <f>IF(LEN(D12)=0,"",IF(D12="W", K13,K12))</f>
        <v/>
      </c>
    </row>
    <row r="13" spans="1:13" x14ac:dyDescent="0.2">
      <c r="A13" s="3" t="str">
        <f ca="1">INDIRECT("Participants!B"&amp;SUM(K13+1))</f>
        <v>M</v>
      </c>
      <c r="B13" s="2">
        <v>4</v>
      </c>
      <c r="C13" s="2" t="str">
        <f ca="1">IF(C12="White", "Black", "White")</f>
        <v>Black</v>
      </c>
      <c r="D13" s="2" t="str">
        <f>IF(ISBLANK(D12),"",IF(D12="W","L","W"))</f>
        <v/>
      </c>
      <c r="E13" s="2">
        <f>IF(ISBLANK(D13), 0, IF(D13="W", 1, 0))</f>
        <v>0</v>
      </c>
      <c r="F13" s="2">
        <f>IF(ISBLANK(D13), 0, IF(D13="L", 1, 0))</f>
        <v>0</v>
      </c>
      <c r="G13" s="2" t="str">
        <f t="shared" si="4"/>
        <v>0 - 0</v>
      </c>
      <c r="H13" s="2">
        <f t="shared" ca="1" si="5"/>
        <v>0</v>
      </c>
      <c r="I13" s="2">
        <f t="shared" ca="1" si="6"/>
        <v>1</v>
      </c>
      <c r="K13" s="2">
        <v>13</v>
      </c>
      <c r="L13" t="str">
        <f>IF(LEN(D13)=0,"",IF(D13="W", K13,K12))</f>
        <v/>
      </c>
      <c r="M13" t="str">
        <f>IF(LEN(D13)=0,"",IF(D13="W", K12,K13))</f>
        <v/>
      </c>
    </row>
    <row r="14" spans="1:13" x14ac:dyDescent="0.2">
      <c r="K14" s="2"/>
    </row>
    <row r="15" spans="1:13" x14ac:dyDescent="0.2">
      <c r="K15" s="2"/>
    </row>
    <row r="16" spans="1:13" x14ac:dyDescent="0.2">
      <c r="K16" s="2"/>
    </row>
    <row r="17" spans="1:13" x14ac:dyDescent="0.2">
      <c r="A17" s="3" t="str">
        <f ca="1">INDIRECT("Participants!B"&amp;SUM(K17+1))</f>
        <v>E</v>
      </c>
      <c r="B17" s="2">
        <v>5</v>
      </c>
      <c r="C17" s="2" t="str">
        <f ca="1">IF(RANDBETWEEN(0, 1), "White", "Black")</f>
        <v>White</v>
      </c>
      <c r="E17" s="2">
        <f>IF(ISBLANK(D17), 0, IF(D17="W", 1, 0))</f>
        <v>0</v>
      </c>
      <c r="F17" s="2">
        <f>IF(ISBLANK(D17), 0, IF(D17="L", 1, 0))</f>
        <v>0</v>
      </c>
      <c r="G17" s="2" t="str">
        <f t="shared" ref="G17:G18" si="7">E17&amp;" - "&amp;F17</f>
        <v>0 - 0</v>
      </c>
      <c r="H17" s="2">
        <f t="shared" ref="H17:H18" ca="1" si="8">IF(C17="White",1,0)</f>
        <v>1</v>
      </c>
      <c r="I17" s="2">
        <f t="shared" ref="I17:I18" ca="1" si="9">IF(C17="Black",1,0)</f>
        <v>0</v>
      </c>
      <c r="K17" s="2">
        <v>5</v>
      </c>
      <c r="L17" t="str">
        <f>IF(LEN(D17)=0,"",IF(D17="W", K17,K18))</f>
        <v/>
      </c>
      <c r="M17" t="str">
        <f>IF(LEN(D17)=0,"",IF(D17="W", K18,K17))</f>
        <v/>
      </c>
    </row>
    <row r="18" spans="1:13" x14ac:dyDescent="0.2">
      <c r="A18" s="3" t="str">
        <f ca="1">INDIRECT("Participants!B"&amp;SUM(K18+1))</f>
        <v>L</v>
      </c>
      <c r="B18" s="2">
        <v>5</v>
      </c>
      <c r="C18" s="2" t="str">
        <f ca="1">IF(C17="White", "Black", "White")</f>
        <v>Black</v>
      </c>
      <c r="D18" s="2" t="str">
        <f>IF(ISBLANK(D17),"",IF(D17="W","L","W"))</f>
        <v/>
      </c>
      <c r="E18" s="2">
        <f>IF(ISBLANK(D18), 0, IF(D18="W", 1, 0))</f>
        <v>0</v>
      </c>
      <c r="F18" s="2">
        <f>IF(ISBLANK(D18), 0, IF(D18="L", 1, 0))</f>
        <v>0</v>
      </c>
      <c r="G18" s="2" t="str">
        <f t="shared" si="7"/>
        <v>0 - 0</v>
      </c>
      <c r="H18" s="2">
        <f t="shared" ca="1" si="8"/>
        <v>0</v>
      </c>
      <c r="I18" s="2">
        <f t="shared" ca="1" si="9"/>
        <v>1</v>
      </c>
      <c r="K18" s="2">
        <v>12</v>
      </c>
      <c r="L18" t="str">
        <f>IF(LEN(D18)=0,"",IF(D18="W", K18,K17))</f>
        <v/>
      </c>
      <c r="M18" t="str">
        <f>IF(LEN(D18)=0,"",IF(D18="W", K17,K18))</f>
        <v/>
      </c>
    </row>
    <row r="19" spans="1:13" x14ac:dyDescent="0.2">
      <c r="K19" s="2"/>
    </row>
    <row r="20" spans="1:13" x14ac:dyDescent="0.2">
      <c r="A20" s="3" t="str">
        <f ca="1">INDIRECT("Participants!B"&amp;SUM(K20+1))</f>
        <v>F</v>
      </c>
      <c r="B20" s="2">
        <v>6</v>
      </c>
      <c r="C20" s="2" t="str">
        <f ca="1">IF(RANDBETWEEN(0, 1), "White", "Black")</f>
        <v>Black</v>
      </c>
      <c r="E20" s="2">
        <f>IF(ISBLANK(D20), 0, IF(D20="W", 1, 0))</f>
        <v>0</v>
      </c>
      <c r="F20" s="2">
        <f>IF(ISBLANK(D20), 0, IF(D20="L", 1, 0))</f>
        <v>0</v>
      </c>
      <c r="G20" s="2" t="str">
        <f t="shared" ref="G20:G21" si="10">E20&amp;" - "&amp;F20</f>
        <v>0 - 0</v>
      </c>
      <c r="H20" s="2">
        <f t="shared" ref="H20:H21" ca="1" si="11">IF(C20="White",1,0)</f>
        <v>0</v>
      </c>
      <c r="I20" s="2">
        <f t="shared" ref="I20:I21" ca="1" si="12">IF(C20="Black",1,0)</f>
        <v>1</v>
      </c>
      <c r="K20" s="2">
        <v>6</v>
      </c>
      <c r="L20" t="str">
        <f>IF(LEN(D20)=0,"",IF(D20="W", K20,K21))</f>
        <v/>
      </c>
      <c r="M20" t="str">
        <f>IF(LEN(D20)=0,"",IF(D20="W", K21,K20))</f>
        <v/>
      </c>
    </row>
    <row r="21" spans="1:13" x14ac:dyDescent="0.2">
      <c r="A21" s="3" t="str">
        <f ca="1">INDIRECT("Participants!B"&amp;SUM(K21+1))</f>
        <v>K</v>
      </c>
      <c r="B21" s="2">
        <v>6</v>
      </c>
      <c r="C21" s="2" t="str">
        <f ca="1">IF(C20="White", "Black", "White")</f>
        <v>White</v>
      </c>
      <c r="D21" s="2" t="str">
        <f>IF(ISBLANK(D20),"",IF(D20="W","L","W"))</f>
        <v/>
      </c>
      <c r="E21" s="2">
        <f>IF(ISBLANK(D21), 0, IF(D21="W", 1, 0))</f>
        <v>0</v>
      </c>
      <c r="F21" s="2">
        <f>IF(ISBLANK(D21), 0, IF(D21="L", 1, 0))</f>
        <v>0</v>
      </c>
      <c r="G21" s="2" t="str">
        <f t="shared" si="10"/>
        <v>0 - 0</v>
      </c>
      <c r="H21" s="2">
        <f t="shared" ca="1" si="11"/>
        <v>1</v>
      </c>
      <c r="I21" s="2">
        <f t="shared" ca="1" si="12"/>
        <v>0</v>
      </c>
      <c r="K21" s="2">
        <v>11</v>
      </c>
      <c r="L21" t="str">
        <f>IF(LEN(D21)=0,"",IF(D21="W", K21,K20))</f>
        <v/>
      </c>
      <c r="M21" t="str">
        <f>IF(LEN(D21)=0,"",IF(D21="W", K20,K21))</f>
        <v/>
      </c>
    </row>
    <row r="22" spans="1:13" x14ac:dyDescent="0.2">
      <c r="K22" s="2"/>
    </row>
    <row r="23" spans="1:13" x14ac:dyDescent="0.2">
      <c r="A23" s="3" t="str">
        <f ca="1">INDIRECT("Participants!B"&amp;SUM(K23+1))</f>
        <v>G</v>
      </c>
      <c r="B23" s="2">
        <v>7</v>
      </c>
      <c r="C23" s="2" t="str">
        <f ca="1">IF(RANDBETWEEN(0, 1), "White", "Black")</f>
        <v>White</v>
      </c>
      <c r="E23" s="2">
        <f>IF(ISBLANK(D23), 0, IF(D23="W", 1, 0))</f>
        <v>0</v>
      </c>
      <c r="F23" s="2">
        <f>IF(ISBLANK(D23), 0, IF(D23="L", 1, 0))</f>
        <v>0</v>
      </c>
      <c r="G23" s="2" t="str">
        <f t="shared" ref="G23:G24" si="13">E23&amp;" - "&amp;F23</f>
        <v>0 - 0</v>
      </c>
      <c r="H23" s="2">
        <f t="shared" ref="H23:H24" ca="1" si="14">IF(C23="White",1,0)</f>
        <v>1</v>
      </c>
      <c r="I23" s="2">
        <f t="shared" ref="I23:I24" ca="1" si="15">IF(C23="Black",1,0)</f>
        <v>0</v>
      </c>
      <c r="K23" s="2">
        <v>7</v>
      </c>
      <c r="L23" t="str">
        <f>IF(LEN(D23)=0,"",IF(D23="W", K23,K24))</f>
        <v/>
      </c>
      <c r="M23" t="str">
        <f>IF(LEN(D23)=0,"",IF(D23="W", K24,K23))</f>
        <v/>
      </c>
    </row>
    <row r="24" spans="1:13" x14ac:dyDescent="0.2">
      <c r="A24" s="3" t="str">
        <f ca="1">INDIRECT("Participants!B"&amp;SUM(K24+1))</f>
        <v>J</v>
      </c>
      <c r="B24" s="2">
        <v>7</v>
      </c>
      <c r="C24" s="2" t="str">
        <f ca="1">IF(C23="White", "Black", "White")</f>
        <v>Black</v>
      </c>
      <c r="D24" s="2" t="str">
        <f>IF(ISBLANK(D23),"",IF(D23="W","L","W"))</f>
        <v/>
      </c>
      <c r="E24" s="2">
        <f>IF(ISBLANK(D24), 0, IF(D24="W", 1, 0))</f>
        <v>0</v>
      </c>
      <c r="F24" s="2">
        <f>IF(ISBLANK(D24), 0, IF(D24="L", 1, 0))</f>
        <v>0</v>
      </c>
      <c r="G24" s="2" t="str">
        <f t="shared" si="13"/>
        <v>0 - 0</v>
      </c>
      <c r="H24" s="2">
        <f t="shared" ca="1" si="14"/>
        <v>0</v>
      </c>
      <c r="I24" s="2">
        <f t="shared" ca="1" si="15"/>
        <v>1</v>
      </c>
      <c r="K24" s="2">
        <v>10</v>
      </c>
      <c r="L24" t="str">
        <f>IF(LEN(D24)=0,"",IF(D24="W", K24,K23))</f>
        <v/>
      </c>
      <c r="M24" t="str">
        <f>IF(LEN(D24)=0,"",IF(D24="W", K23,K24))</f>
        <v/>
      </c>
    </row>
    <row r="25" spans="1:13" x14ac:dyDescent="0.2">
      <c r="K25" s="2"/>
    </row>
    <row r="26" spans="1:13" x14ac:dyDescent="0.2">
      <c r="A26" s="3" t="str">
        <f ca="1">INDIRECT("Participants!B"&amp;SUM(K26+1))</f>
        <v>H</v>
      </c>
      <c r="B26" s="2">
        <v>8</v>
      </c>
      <c r="C26" s="2" t="str">
        <f ca="1">IF(RANDBETWEEN(0, 1), "White", "Black")</f>
        <v>Black</v>
      </c>
      <c r="E26" s="2">
        <f>IF(ISBLANK(D26), 0, IF(D26="W", 1, 0))</f>
        <v>0</v>
      </c>
      <c r="F26" s="2">
        <f>IF(ISBLANK(D26), 0, IF(D26="L", 1, 0))</f>
        <v>0</v>
      </c>
      <c r="G26" s="2" t="str">
        <f t="shared" ref="G26:G27" si="16">E26&amp;" - "&amp;F26</f>
        <v>0 - 0</v>
      </c>
      <c r="H26" s="2">
        <f t="shared" ref="H26:H27" ca="1" si="17">IF(C26="White",1,0)</f>
        <v>0</v>
      </c>
      <c r="I26" s="2">
        <f t="shared" ref="I26:I27" ca="1" si="18">IF(C26="Black",1,0)</f>
        <v>1</v>
      </c>
      <c r="K26" s="2">
        <v>8</v>
      </c>
      <c r="L26" t="str">
        <f>IF(LEN(D26)=0,"",IF(D26="W", K26,K27))</f>
        <v/>
      </c>
      <c r="M26" t="str">
        <f>IF(LEN(D26)=0,"",IF(D26="W", K27,K26))</f>
        <v/>
      </c>
    </row>
    <row r="27" spans="1:13" x14ac:dyDescent="0.2">
      <c r="A27" s="3" t="str">
        <f ca="1">INDIRECT("Participants!B"&amp;SUM(K27+1))</f>
        <v>I</v>
      </c>
      <c r="B27" s="2">
        <v>8</v>
      </c>
      <c r="C27" s="2" t="str">
        <f ca="1">IF(C26="White", "Black", "White")</f>
        <v>White</v>
      </c>
      <c r="D27" s="2" t="str">
        <f>IF(ISBLANK(D26),"",IF(D26="W","L","W"))</f>
        <v/>
      </c>
      <c r="E27" s="2">
        <f>IF(ISBLANK(D27), 0, IF(D27="W", 1, 0))</f>
        <v>0</v>
      </c>
      <c r="F27" s="2">
        <f>IF(ISBLANK(D27), 0, IF(D27="L", 1, 0))</f>
        <v>0</v>
      </c>
      <c r="G27" s="2" t="str">
        <f t="shared" si="16"/>
        <v>0 - 0</v>
      </c>
      <c r="H27" s="2">
        <f t="shared" ca="1" si="17"/>
        <v>1</v>
      </c>
      <c r="I27" s="2">
        <f t="shared" ca="1" si="18"/>
        <v>0</v>
      </c>
      <c r="K27" s="2">
        <v>9</v>
      </c>
      <c r="L27" t="str">
        <f>IF(LEN(D27)=0,"",IF(D27="W", K27,K26))</f>
        <v/>
      </c>
      <c r="M27" t="str">
        <f>IF(LEN(D27)=0,"",IF(D27="W", K26,K27))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920552-7A60-0345-8E5B-F4A135A64ABF}">
          <x14:formula1>
            <xm:f>Utils!$A$2:$A$3</xm:f>
          </x14:formula1>
          <xm:sqref>D3 D6 D9 D12 D17 D20 D23 D26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3AD4-6980-4F48-A4EA-5749365291E1}">
  <sheetPr codeName="Sheet5"/>
  <dimension ref="A1:N27"/>
  <sheetViews>
    <sheetView zoomScale="140" zoomScaleNormal="140" workbookViewId="0">
      <selection activeCell="D26" sqref="D26"/>
    </sheetView>
  </sheetViews>
  <sheetFormatPr baseColWidth="10" defaultRowHeight="16" x14ac:dyDescent="0.2"/>
  <cols>
    <col min="1" max="1" width="25.5" style="2" customWidth="1"/>
    <col min="2" max="2" width="17.83203125" style="2" customWidth="1"/>
    <col min="3" max="5" width="17.6640625" style="2" bestFit="1" customWidth="1"/>
    <col min="6" max="6" width="15.1640625" style="2" customWidth="1"/>
    <col min="7" max="7" width="16.33203125" style="2" customWidth="1"/>
    <col min="8" max="8" width="10.5" style="2" customWidth="1"/>
    <col min="9" max="9" width="10.1640625" customWidth="1"/>
    <col min="10" max="10" width="10.83203125" style="6"/>
    <col min="14" max="14" width="15.5" bestFit="1" customWidth="1"/>
  </cols>
  <sheetData>
    <row r="1" spans="1:14" x14ac:dyDescent="0.2">
      <c r="A1" s="1" t="s">
        <v>0</v>
      </c>
    </row>
    <row r="2" spans="1:14" x14ac:dyDescent="0.2">
      <c r="A2" s="1" t="s">
        <v>2</v>
      </c>
      <c r="B2" s="1" t="s">
        <v>5</v>
      </c>
      <c r="C2" s="1" t="s">
        <v>3</v>
      </c>
      <c r="D2" s="4" t="s">
        <v>24</v>
      </c>
      <c r="E2" s="1" t="s">
        <v>22</v>
      </c>
      <c r="F2" s="1" t="s">
        <v>23</v>
      </c>
      <c r="G2" s="1" t="s">
        <v>4</v>
      </c>
      <c r="H2" s="1" t="s">
        <v>28</v>
      </c>
      <c r="I2" s="1" t="s">
        <v>27</v>
      </c>
      <c r="K2" s="1" t="s">
        <v>1</v>
      </c>
      <c r="L2" s="1" t="s">
        <v>30</v>
      </c>
      <c r="M2" s="1" t="s">
        <v>31</v>
      </c>
      <c r="N2" s="1" t="s">
        <v>32</v>
      </c>
    </row>
    <row r="3" spans="1:14" x14ac:dyDescent="0.2">
      <c r="A3" s="3" t="e">
        <f ca="1">INDIRECT("Participants!B"&amp;SUM(K3+1))</f>
        <v>#VALUE!</v>
      </c>
      <c r="B3" s="2">
        <v>1</v>
      </c>
      <c r="C3" s="2" t="e">
        <f ca="1">IF(N3 = N4, IF(RANDBETWEEN(0, 1), "White", "Black"), IF(N3 &gt; N4, "Black", "White"))</f>
        <v>#N/A</v>
      </c>
      <c r="E3" s="2" t="e">
        <f>SUM(INDEX('Rd1'!$E$3:$E$27, MATCH(K3, 'Rd1'!$K$3:$K$27, 0),1), IF(LEN(D3)=0, 0, IF(D3="W", 1, 0)))</f>
        <v>#N/A</v>
      </c>
      <c r="F3" s="2" t="e">
        <f>SUM(INDEX('Rd1'!$F$3:$F$27, MATCH(K3, 'Rd1'!$K$3:$K$27, 0),1), IF(LEN(D3)=0, 0, IF(D3="L", 1, 0)))</f>
        <v>#N/A</v>
      </c>
      <c r="G3" s="2" t="e">
        <f>E3&amp;" - "&amp;F3</f>
        <v>#N/A</v>
      </c>
      <c r="H3" s="2" t="e">
        <f ca="1">SUM(INDEX('Rd1'!$H$3:$H$27, MATCH(K3, 'Rd1'!$K$3:$K$27, 0),1), IF(C3="White",1,0))</f>
        <v>#N/A</v>
      </c>
      <c r="I3" s="2" t="e">
        <f ca="1">SUM(INDEX('Rd1'!$I$3:$I$27, MATCH(K3, 'Rd1'!$K$3:$K$27, 0),1), IF(C3="Black",1,0))</f>
        <v>#N/A</v>
      </c>
      <c r="K3" s="2" t="str">
        <f>'Rd1'!L$3</f>
        <v/>
      </c>
      <c r="L3" t="str">
        <f>IF(LEN(D3)=0,"",IF(D3="W", K3,K4))</f>
        <v/>
      </c>
      <c r="M3" t="str">
        <f>IF(LEN(D3)=0,"",IF(D3="W", K4,K3))</f>
        <v/>
      </c>
      <c r="N3" t="e">
        <f>INDEX('Rd1'!$H$3:$H$27, MATCH(K3, 'Rd1'!$K$3:$K$27, 0),1)</f>
        <v>#N/A</v>
      </c>
    </row>
    <row r="4" spans="1:14" x14ac:dyDescent="0.2">
      <c r="A4" s="3" t="e">
        <f ca="1">INDIRECT("Participants!B"&amp;SUM(K4+1))</f>
        <v>#VALUE!</v>
      </c>
      <c r="B4" s="2">
        <v>1</v>
      </c>
      <c r="C4" s="2" t="e">
        <f ca="1">IF(C3="White", "Black", "White")</f>
        <v>#N/A</v>
      </c>
      <c r="D4" s="2" t="str">
        <f>IF(ISBLANK(D3),"",IF(D3="W","L","W"))</f>
        <v/>
      </c>
      <c r="E4" s="2" t="e">
        <f>SUM(INDEX('Rd1'!$E$3:$E$27, MATCH(K4, 'Rd1'!$K$3:$K$27, 0),1), IF(LEN(D4)=0, 0, IF(D4="W", 1, 0)))</f>
        <v>#N/A</v>
      </c>
      <c r="F4" s="2" t="e">
        <f>SUM(INDEX('Rd1'!$F$3:$F$27, MATCH(K4, 'Rd1'!$K$3:$K$27, 0),1), IF(LEN(D4)=0, 0, IF(D4="L", 1, 0)))</f>
        <v>#N/A</v>
      </c>
      <c r="G4" s="2" t="e">
        <f>E4&amp;" - "&amp;F4</f>
        <v>#N/A</v>
      </c>
      <c r="H4" s="2" t="e">
        <f ca="1">SUM(INDEX('Rd1'!$H$3:$H$27, MATCH(K4, 'Rd1'!$K$3:$K$27, 0),1), IF(C4="White",1,0))</f>
        <v>#N/A</v>
      </c>
      <c r="I4" s="2" t="e">
        <f ca="1">SUM(INDEX('Rd1'!$I$3:$I$27, MATCH(K4, 'Rd1'!$K$3:$K$27, 0),1), IF(C4="Black",1,0))</f>
        <v>#N/A</v>
      </c>
      <c r="K4" s="2" t="str">
        <f>'Rd1'!L$6</f>
        <v/>
      </c>
      <c r="L4" t="str">
        <f>IF(LEN(D4)=0,"",IF(D4="W", K4,K3))</f>
        <v/>
      </c>
      <c r="M4" t="str">
        <f>IF(LEN(D4)=0,"",IF(D4="W", K3,K4))</f>
        <v/>
      </c>
      <c r="N4" t="e">
        <f>INDEX('Rd1'!$H$3:$H$27, MATCH(K4, 'Rd1'!$K$3:$K$27, 0),1)</f>
        <v>#N/A</v>
      </c>
    </row>
    <row r="5" spans="1:14" x14ac:dyDescent="0.2">
      <c r="K5" s="2"/>
    </row>
    <row r="6" spans="1:14" x14ac:dyDescent="0.2">
      <c r="A6" s="3" t="e">
        <f ca="1">INDIRECT("Participants!B"&amp;SUM(K6+1))</f>
        <v>#VALUE!</v>
      </c>
      <c r="B6" s="2">
        <v>2</v>
      </c>
      <c r="C6" s="2" t="e">
        <f ca="1">IF(N6 = N7, IF(RANDBETWEEN(0, 1), "White", "Black"), IF(N6 &gt; N7, "Black", "White"))</f>
        <v>#N/A</v>
      </c>
      <c r="E6" s="2" t="e">
        <f>SUM(INDEX('Rd1'!$E$3:$E$27, MATCH(K6, 'Rd1'!$K$3:$K$27, 0),1), IF(LEN(D6)=0, 0, IF(D6="W", 1, 0)))</f>
        <v>#N/A</v>
      </c>
      <c r="F6" s="2" t="e">
        <f>SUM(INDEX('Rd1'!$F$3:$F$27, MATCH(K6, 'Rd1'!$K$3:$K$27, 0),1), IF(LEN(D6)=0, 0, IF(D6="L", 1, 0)))</f>
        <v>#N/A</v>
      </c>
      <c r="G6" s="2" t="e">
        <f t="shared" ref="G6:G7" si="0">E6&amp;" - "&amp;F6</f>
        <v>#N/A</v>
      </c>
      <c r="H6" s="2" t="e">
        <f ca="1">SUM(INDEX('Rd1'!$H$3:$H$27, MATCH(K6, 'Rd1'!$K$3:$K$27, 0),1), IF(C6="White",1,0))</f>
        <v>#N/A</v>
      </c>
      <c r="I6" s="2" t="e">
        <f ca="1">SUM(INDEX('Rd1'!$I$3:$I$27, MATCH(K6, 'Rd1'!$K$3:$K$27, 0),1), IF(C6="Black",1,0))</f>
        <v>#N/A</v>
      </c>
      <c r="K6" s="2" t="str">
        <f>'Rd1'!L$9</f>
        <v/>
      </c>
      <c r="L6" t="str">
        <f>IF(LEN(D6)=0,"",IF(D6="W", K6,K7))</f>
        <v/>
      </c>
      <c r="M6" t="str">
        <f>IF(LEN(D6)=0,"",IF(D6="W", K7,K6))</f>
        <v/>
      </c>
      <c r="N6" t="e">
        <f>INDEX('Rd1'!$H$3:$H$27, MATCH(K6, 'Rd1'!$K$3:$K$27, 0),1)</f>
        <v>#N/A</v>
      </c>
    </row>
    <row r="7" spans="1:14" x14ac:dyDescent="0.2">
      <c r="A7" s="3" t="e">
        <f ca="1">INDIRECT("Participants!B"&amp;SUM(K7+1))</f>
        <v>#VALUE!</v>
      </c>
      <c r="B7" s="2">
        <v>2</v>
      </c>
      <c r="C7" s="2" t="e">
        <f ca="1">IF(C6="White", "Black", "White")</f>
        <v>#N/A</v>
      </c>
      <c r="D7" s="2" t="str">
        <f>IF(ISBLANK(D6),"",IF(D6="W","L","W"))</f>
        <v/>
      </c>
      <c r="E7" s="2" t="e">
        <f>SUM(INDEX('Rd1'!$E$3:$E$27, MATCH(K7, 'Rd1'!$K$3:$K$27, 0),1), IF(LEN(D7)=0, 0, IF(D7="W", 1, 0)))</f>
        <v>#N/A</v>
      </c>
      <c r="F7" s="2" t="e">
        <f>SUM(INDEX('Rd1'!$F$3:$F$27, MATCH(K7, 'Rd1'!$K$3:$K$27, 0),1), IF(LEN(D7)=0, 0, IF(D7="L", 1, 0)))</f>
        <v>#N/A</v>
      </c>
      <c r="G7" s="2" t="e">
        <f t="shared" si="0"/>
        <v>#N/A</v>
      </c>
      <c r="H7" s="2" t="e">
        <f ca="1">SUM(INDEX('Rd1'!$H$3:$H$27, MATCH(K7, 'Rd1'!$K$3:$K$27, 0),1), IF(C7="White",1,0))</f>
        <v>#N/A</v>
      </c>
      <c r="I7" s="2" t="e">
        <f ca="1">SUM(INDEX('Rd1'!$I$3:$I$27, MATCH(K7, 'Rd1'!$K$3:$K$27, 0),1), IF(C7="Black",1,0))</f>
        <v>#N/A</v>
      </c>
      <c r="K7" s="2" t="str">
        <f>'Rd1'!L$12</f>
        <v/>
      </c>
      <c r="L7" t="str">
        <f>IF(LEN(D7)=0,"",IF(D7="W", K7,K6))</f>
        <v/>
      </c>
      <c r="M7" t="str">
        <f>IF(LEN(D7)=0,"",IF(D7="W", K6,K7))</f>
        <v/>
      </c>
      <c r="N7" t="e">
        <f>INDEX('Rd1'!$H$3:$H$27, MATCH(K7, 'Rd1'!$K$3:$K$27, 0),1)</f>
        <v>#N/A</v>
      </c>
    </row>
    <row r="8" spans="1:14" x14ac:dyDescent="0.2">
      <c r="K8" s="2"/>
    </row>
    <row r="9" spans="1:14" x14ac:dyDescent="0.2">
      <c r="A9" s="3" t="e">
        <f ca="1">INDIRECT("Participants!B"&amp;SUM(K9+1))</f>
        <v>#VALUE!</v>
      </c>
      <c r="B9" s="2">
        <v>3</v>
      </c>
      <c r="C9" s="2" t="e">
        <f ca="1">IF(N9 = N10, IF(RANDBETWEEN(0, 1), "White", "Black"), IF(N9 &gt; N10, "Black", "White"))</f>
        <v>#N/A</v>
      </c>
      <c r="E9" s="2" t="e">
        <f>SUM(INDEX('Rd1'!$E$3:$E$27, MATCH(K9, 'Rd1'!$K$3:$K$27, 0),1), IF(LEN(D9)=0, 0, IF(D9="W", 1, 0)))</f>
        <v>#N/A</v>
      </c>
      <c r="F9" s="2" t="e">
        <f>SUM(INDEX('Rd1'!$F$3:$F$27, MATCH(K9, 'Rd1'!$K$3:$K$27, 0),1), IF(LEN(D9)=0, 0, IF(D9="L", 1, 0)))</f>
        <v>#N/A</v>
      </c>
      <c r="G9" s="2" t="e">
        <f t="shared" ref="G9:G10" si="1">E9&amp;" - "&amp;F9</f>
        <v>#N/A</v>
      </c>
      <c r="H9" s="2" t="e">
        <f ca="1">SUM(INDEX('Rd1'!$H$3:$H$27, MATCH(K9, 'Rd1'!$K$3:$K$27, 0),1), IF(C9="White",1,0))</f>
        <v>#N/A</v>
      </c>
      <c r="I9" s="2" t="e">
        <f ca="1">SUM(INDEX('Rd1'!$I$3:$I$27, MATCH(K9, 'Rd1'!$K$3:$K$27, 0),1), IF(C9="Black",1,0))</f>
        <v>#N/A</v>
      </c>
      <c r="K9" s="2" t="str">
        <f>'Rd1'!L$17</f>
        <v/>
      </c>
      <c r="L9" t="str">
        <f>IF(LEN(D9)=0,"",IF(D9="W", K9,K10))</f>
        <v/>
      </c>
      <c r="M9" t="str">
        <f>IF(LEN(D9)=0,"",IF(D9="W", K10,K9))</f>
        <v/>
      </c>
      <c r="N9" t="e">
        <f>INDEX('Rd1'!$H$3:$H$27, MATCH(K9, 'Rd1'!$K$3:$K$27, 0),1)</f>
        <v>#N/A</v>
      </c>
    </row>
    <row r="10" spans="1:14" x14ac:dyDescent="0.2">
      <c r="A10" s="3" t="e">
        <f ca="1">INDIRECT("Participants!B"&amp;SUM(K10+1))</f>
        <v>#VALUE!</v>
      </c>
      <c r="B10" s="2">
        <v>3</v>
      </c>
      <c r="C10" s="2" t="e">
        <f ca="1">IF(C9="White", "Black", "White")</f>
        <v>#N/A</v>
      </c>
      <c r="D10" s="2" t="str">
        <f>IF(ISBLANK(D9),"",IF(D9="W","L","W"))</f>
        <v/>
      </c>
      <c r="E10" s="2" t="e">
        <f>SUM(INDEX('Rd1'!$E$3:$E$27, MATCH(K10, 'Rd1'!$K$3:$K$27, 0),1), IF(LEN(D10)=0, 0, IF(D10="W", 1, 0)))</f>
        <v>#N/A</v>
      </c>
      <c r="F10" s="2" t="e">
        <f>SUM(INDEX('Rd1'!$F$3:$F$27, MATCH(K10, 'Rd1'!$K$3:$K$27, 0),1), IF(LEN(D10)=0, 0, IF(D10="L", 1, 0)))</f>
        <v>#N/A</v>
      </c>
      <c r="G10" s="2" t="e">
        <f t="shared" si="1"/>
        <v>#N/A</v>
      </c>
      <c r="H10" s="2" t="e">
        <f ca="1">SUM(INDEX('Rd1'!$H$3:$H$27, MATCH(K10, 'Rd1'!$K$3:$K$27, 0),1), IF(C10="White",1,0))</f>
        <v>#N/A</v>
      </c>
      <c r="I10" s="2" t="e">
        <f ca="1">SUM(INDEX('Rd1'!$I$3:$I$27, MATCH(K10, 'Rd1'!$K$3:$K$27, 0),1), IF(C10="Black",1,0))</f>
        <v>#N/A</v>
      </c>
      <c r="K10" s="2" t="str">
        <f>'Rd1'!L$20</f>
        <v/>
      </c>
      <c r="L10" t="str">
        <f>IF(LEN(D10)=0,"",IF(D10="W", K10,K9))</f>
        <v/>
      </c>
      <c r="M10" t="str">
        <f>IF(LEN(D10)=0,"",IF(D10="W", K9,K10))</f>
        <v/>
      </c>
      <c r="N10" t="e">
        <f>INDEX('Rd1'!$H$3:$H$27, MATCH(K10, 'Rd1'!$K$3:$K$27, 0),1)</f>
        <v>#N/A</v>
      </c>
    </row>
    <row r="11" spans="1:14" x14ac:dyDescent="0.2">
      <c r="K11" s="2"/>
    </row>
    <row r="12" spans="1:14" x14ac:dyDescent="0.2">
      <c r="A12" s="3" t="e">
        <f ca="1">INDIRECT("Participants!B"&amp;SUM(K12+1))</f>
        <v>#VALUE!</v>
      </c>
      <c r="B12" s="2">
        <v>4</v>
      </c>
      <c r="C12" s="2" t="e">
        <f ca="1">IF(N12 = N13, IF(RANDBETWEEN(0, 1), "White", "Black"), IF(N12 &gt; N13, "Black", "White"))</f>
        <v>#N/A</v>
      </c>
      <c r="E12" s="2" t="e">
        <f>SUM(INDEX('Rd1'!$E$3:$E$27, MATCH(K12, 'Rd1'!$K$3:$K$27, 0),1), IF(LEN(D12)=0, 0, IF(D12="W", 1, 0)))</f>
        <v>#N/A</v>
      </c>
      <c r="F12" s="2" t="e">
        <f>SUM(INDEX('Rd1'!$F$3:$F$27, MATCH(K12, 'Rd1'!$K$3:$K$27, 0),1), IF(LEN(D12)=0, 0, IF(D12="L", 1, 0)))</f>
        <v>#N/A</v>
      </c>
      <c r="G12" s="2" t="e">
        <f t="shared" ref="G12:G13" si="2">E12&amp;" - "&amp;F12</f>
        <v>#N/A</v>
      </c>
      <c r="H12" s="2" t="e">
        <f ca="1">SUM(INDEX('Rd1'!$H$3:$H$27, MATCH(K12, 'Rd1'!$K$3:$K$27, 0),1), IF(C12="White",1,0))</f>
        <v>#N/A</v>
      </c>
      <c r="I12" s="2" t="e">
        <f ca="1">SUM(INDEX('Rd1'!$I$3:$I$27, MATCH(K12, 'Rd1'!$K$3:$K$27, 0),1), IF(C12="Black",1,0))</f>
        <v>#N/A</v>
      </c>
      <c r="K12" s="2" t="str">
        <f>'Rd1'!L$23</f>
        <v/>
      </c>
      <c r="L12" t="str">
        <f>IF(LEN(D12)=0,"",IF(D12="W", K12,K13))</f>
        <v/>
      </c>
      <c r="M12" t="str">
        <f>IF(LEN(D12)=0,"",IF(D12="W", K13,K12))</f>
        <v/>
      </c>
      <c r="N12" t="e">
        <f>INDEX('Rd1'!$H$3:$H$27, MATCH(K12, 'Rd1'!$K$3:$K$27, 0),1)</f>
        <v>#N/A</v>
      </c>
    </row>
    <row r="13" spans="1:14" x14ac:dyDescent="0.2">
      <c r="A13" s="3" t="e">
        <f ca="1">INDIRECT("Participants!B"&amp;SUM(K13+1))</f>
        <v>#VALUE!</v>
      </c>
      <c r="B13" s="2">
        <v>4</v>
      </c>
      <c r="C13" s="2" t="e">
        <f ca="1">IF(C12="White", "Black", "White")</f>
        <v>#N/A</v>
      </c>
      <c r="D13" s="2" t="str">
        <f>IF(ISBLANK(D12),"",IF(D12="W","L","W"))</f>
        <v/>
      </c>
      <c r="E13" s="2" t="e">
        <f>SUM(INDEX('Rd1'!$E$3:$E$27, MATCH(K13, 'Rd1'!$K$3:$K$27, 0),1), IF(LEN(D13)=0, 0, IF(D13="W", 1, 0)))</f>
        <v>#N/A</v>
      </c>
      <c r="F13" s="2" t="e">
        <f>SUM(INDEX('Rd1'!$F$3:$F$27, MATCH(K13, 'Rd1'!$K$3:$K$27, 0),1), IF(LEN(D13)=0, 0, IF(D13="L", 1, 0)))</f>
        <v>#N/A</v>
      </c>
      <c r="G13" s="2" t="e">
        <f t="shared" si="2"/>
        <v>#N/A</v>
      </c>
      <c r="H13" s="2" t="e">
        <f ca="1">SUM(INDEX('Rd1'!$H$3:$H$27, MATCH(K13, 'Rd1'!$K$3:$K$27, 0),1), IF(C13="White",1,0))</f>
        <v>#N/A</v>
      </c>
      <c r="I13" s="2" t="e">
        <f ca="1">SUM(INDEX('Rd1'!$I$3:$I$27, MATCH(K13, 'Rd1'!$K$3:$K$27, 0),1), IF(C13="Black",1,0))</f>
        <v>#N/A</v>
      </c>
      <c r="K13" s="2" t="str">
        <f>'Rd1'!L$26</f>
        <v/>
      </c>
      <c r="L13" t="str">
        <f>IF(LEN(D13)=0,"",IF(D13="W", K13,K12))</f>
        <v/>
      </c>
      <c r="M13" t="str">
        <f>IF(LEN(D13)=0,"",IF(D13="W", K12,K13))</f>
        <v/>
      </c>
      <c r="N13" t="e">
        <f>INDEX('Rd1'!$H$3:$H$27, MATCH(K13, 'Rd1'!$K$3:$K$27, 0),1)</f>
        <v>#N/A</v>
      </c>
    </row>
    <row r="14" spans="1:14" x14ac:dyDescent="0.2">
      <c r="K14" s="2"/>
    </row>
    <row r="15" spans="1:14" x14ac:dyDescent="0.2">
      <c r="K15" s="2"/>
    </row>
    <row r="16" spans="1:14" x14ac:dyDescent="0.2">
      <c r="A16" s="1" t="s">
        <v>29</v>
      </c>
      <c r="K16" s="2"/>
    </row>
    <row r="17" spans="1:14" x14ac:dyDescent="0.2">
      <c r="A17" s="3" t="e">
        <f ca="1">INDIRECT("Participants!B"&amp;SUM(K17+1))</f>
        <v>#VALUE!</v>
      </c>
      <c r="B17" s="2">
        <v>5</v>
      </c>
      <c r="C17" s="2" t="e">
        <f ca="1">IF(N17 = N18, IF(RANDBETWEEN(0, 1), "White", "Black"), IF(N17 &gt; N18, "Black", "White"))</f>
        <v>#N/A</v>
      </c>
      <c r="E17" s="2" t="e">
        <f>SUM(INDEX('Rd1'!$E$3:$E$27, MATCH(K17, 'Rd1'!$K$3:$K$27, 0),1), IF(LEN(D17)=0, 0, IF(D17="W", 1, 0)))</f>
        <v>#N/A</v>
      </c>
      <c r="F17" s="2" t="e">
        <f>SUM(INDEX('Rd1'!$F$3:$F$27, MATCH(K17, 'Rd1'!$K$3:$K$27, 0),1), IF(LEN(D17)=0, 0, IF(D17="L", 1, 0)))</f>
        <v>#N/A</v>
      </c>
      <c r="G17" s="2" t="e">
        <f t="shared" ref="G17:G18" si="3">E17&amp;" - "&amp;F17</f>
        <v>#N/A</v>
      </c>
      <c r="H17" s="2" t="e">
        <f ca="1">SUM(INDEX('Rd1'!$H$3:$H$27, MATCH(K17, 'Rd1'!$K$3:$K$27, 0),1), IF(C17="White",1,0))</f>
        <v>#N/A</v>
      </c>
      <c r="I17" s="2" t="e">
        <f ca="1">SUM(INDEX('Rd1'!$I$3:$I$27, MATCH(K17, 'Rd1'!$K$3:$K$27, 0),1), IF(C17="Black",1,0))</f>
        <v>#N/A</v>
      </c>
      <c r="K17" s="2" t="str">
        <f>'Rd1'!M$3</f>
        <v/>
      </c>
      <c r="L17" t="str">
        <f>IF(LEN(D17)=0,"",IF(D17="W", K17,K18))</f>
        <v/>
      </c>
      <c r="M17" t="str">
        <f>IF(LEN(D17)=0,"",IF(D17="W", K18,K17))</f>
        <v/>
      </c>
      <c r="N17" t="e">
        <f>INDEX('Rd1'!$H$3:$H$27, MATCH(K17, 'Rd1'!$K$3:$K$27, 0),1)</f>
        <v>#N/A</v>
      </c>
    </row>
    <row r="18" spans="1:14" x14ac:dyDescent="0.2">
      <c r="A18" s="3" t="e">
        <f ca="1">INDIRECT("Participants!B"&amp;SUM(K18+1))</f>
        <v>#VALUE!</v>
      </c>
      <c r="B18" s="2">
        <v>5</v>
      </c>
      <c r="C18" s="2" t="e">
        <f ca="1">IF(C17="White", "Black", "White")</f>
        <v>#N/A</v>
      </c>
      <c r="D18" s="2" t="str">
        <f>IF(ISBLANK(D17),"",IF(D17="W","L","W"))</f>
        <v/>
      </c>
      <c r="E18" s="2" t="e">
        <f>SUM(INDEX('Rd1'!$E$3:$E$27, MATCH(K18, 'Rd1'!$K$3:$K$27, 0),1), IF(LEN(D18)=0, 0, IF(D18="W", 1, 0)))</f>
        <v>#N/A</v>
      </c>
      <c r="F18" s="2" t="e">
        <f>SUM(INDEX('Rd1'!$F$3:$F$27, MATCH(K18, 'Rd1'!$K$3:$K$27, 0),1), IF(LEN(D18)=0, 0, IF(D18="L", 1, 0)))</f>
        <v>#N/A</v>
      </c>
      <c r="G18" s="2" t="e">
        <f t="shared" si="3"/>
        <v>#N/A</v>
      </c>
      <c r="H18" s="2" t="e">
        <f ca="1">SUM(INDEX('Rd1'!$H$3:$H$27, MATCH(K18, 'Rd1'!$K$3:$K$27, 0),1), IF(C18="White",1,0))</f>
        <v>#N/A</v>
      </c>
      <c r="I18" s="2" t="e">
        <f ca="1">SUM(INDEX('Rd1'!$I$3:$I$27, MATCH(K18, 'Rd1'!$K$3:$K$27, 0),1), IF(C18="Black",1,0))</f>
        <v>#N/A</v>
      </c>
      <c r="K18" s="2" t="str">
        <f>'Rd1'!M$6</f>
        <v/>
      </c>
      <c r="L18" t="str">
        <f>IF(LEN(D18)=0,"",IF(D18="W", K18,K17))</f>
        <v/>
      </c>
      <c r="M18" t="str">
        <f>IF(LEN(D18)=0,"",IF(D18="W", K17,K18))</f>
        <v/>
      </c>
      <c r="N18" t="e">
        <f>INDEX('Rd1'!$H$3:$H$27, MATCH(K18, 'Rd1'!$K$3:$K$27, 0),1)</f>
        <v>#N/A</v>
      </c>
    </row>
    <row r="19" spans="1:14" x14ac:dyDescent="0.2">
      <c r="K19" s="2"/>
    </row>
    <row r="20" spans="1:14" x14ac:dyDescent="0.2">
      <c r="A20" s="3" t="e">
        <f ca="1">INDIRECT("Participants!B"&amp;SUM(K20+1))</f>
        <v>#VALUE!</v>
      </c>
      <c r="B20" s="2">
        <v>6</v>
      </c>
      <c r="C20" s="2" t="e">
        <f ca="1">IF(N20 = N21, IF(RANDBETWEEN(0, 1), "White", "Black"), IF(N20 &gt; N21, "Black", "White"))</f>
        <v>#N/A</v>
      </c>
      <c r="E20" s="2" t="e">
        <f>SUM(INDEX('Rd1'!$E$3:$E$27, MATCH(K20, 'Rd1'!$K$3:$K$27, 0),1), IF(LEN(D20)=0, 0, IF(D20="W", 1, 0)))</f>
        <v>#N/A</v>
      </c>
      <c r="F20" s="2" t="e">
        <f>SUM(INDEX('Rd1'!$F$3:$F$27, MATCH(K20, 'Rd1'!$K$3:$K$27, 0),1), IF(LEN(D20)=0, 0, IF(D20="L", 1, 0)))</f>
        <v>#N/A</v>
      </c>
      <c r="G20" s="2" t="e">
        <f t="shared" ref="G20:G21" si="4">E20&amp;" - "&amp;F20</f>
        <v>#N/A</v>
      </c>
      <c r="H20" s="2" t="e">
        <f ca="1">SUM(INDEX('Rd1'!$H$3:$H$27, MATCH(K20, 'Rd1'!$K$3:$K$27, 0),1), IF(C20="White",1,0))</f>
        <v>#N/A</v>
      </c>
      <c r="I20" s="2" t="e">
        <f ca="1">SUM(INDEX('Rd1'!$I$3:$I$27, MATCH(K20, 'Rd1'!$K$3:$K$27, 0),1), IF(C20="Black",1,0))</f>
        <v>#N/A</v>
      </c>
      <c r="K20" s="2" t="str">
        <f>'Rd1'!M$9</f>
        <v/>
      </c>
      <c r="L20" t="str">
        <f>IF(LEN(D20)=0,"",IF(D20="W", K20,K21))</f>
        <v/>
      </c>
      <c r="M20" t="str">
        <f>IF(LEN(D20)=0,"",IF(D20="W", K21,K20))</f>
        <v/>
      </c>
      <c r="N20" t="e">
        <f>INDEX('Rd1'!$H$3:$H$27, MATCH(K20, 'Rd1'!$K$3:$K$27, 0),1)</f>
        <v>#N/A</v>
      </c>
    </row>
    <row r="21" spans="1:14" x14ac:dyDescent="0.2">
      <c r="A21" s="3" t="e">
        <f ca="1">INDIRECT("Participants!B"&amp;SUM(K21+1))</f>
        <v>#VALUE!</v>
      </c>
      <c r="B21" s="2">
        <v>6</v>
      </c>
      <c r="C21" s="2" t="e">
        <f ca="1">IF(C20="White", "Black", "White")</f>
        <v>#N/A</v>
      </c>
      <c r="D21" s="2" t="str">
        <f>IF(ISBLANK(D20),"",IF(D20="W","L","W"))</f>
        <v/>
      </c>
      <c r="E21" s="2" t="e">
        <f>SUM(INDEX('Rd1'!$E$3:$E$27, MATCH(K21, 'Rd1'!$K$3:$K$27, 0),1), IF(LEN(D21)=0, 0, IF(D21="W", 1, 0)))</f>
        <v>#N/A</v>
      </c>
      <c r="F21" s="2" t="e">
        <f>SUM(INDEX('Rd1'!$F$3:$F$27, MATCH(K21, 'Rd1'!$K$3:$K$27, 0),1), IF(LEN(D21)=0, 0, IF(D21="L", 1, 0)))</f>
        <v>#N/A</v>
      </c>
      <c r="G21" s="2" t="e">
        <f t="shared" si="4"/>
        <v>#N/A</v>
      </c>
      <c r="H21" s="2" t="e">
        <f ca="1">SUM(INDEX('Rd1'!$H$3:$H$27, MATCH(K21, 'Rd1'!$K$3:$K$27, 0),1), IF(C21="White",1,0))</f>
        <v>#N/A</v>
      </c>
      <c r="I21" s="2" t="e">
        <f ca="1">SUM(INDEX('Rd1'!$I$3:$I$27, MATCH(K21, 'Rd1'!$K$3:$K$27, 0),1), IF(C21="Black",1,0))</f>
        <v>#N/A</v>
      </c>
      <c r="K21" s="2" t="str">
        <f>'Rd1'!M$12</f>
        <v/>
      </c>
      <c r="L21" t="str">
        <f>IF(LEN(D21)=0,"",IF(D21="W", K21,K20))</f>
        <v/>
      </c>
      <c r="M21" t="str">
        <f>IF(LEN(D21)=0,"",IF(D21="W", K20,K21))</f>
        <v/>
      </c>
      <c r="N21" t="e">
        <f>INDEX('Rd1'!$H$3:$H$27, MATCH(K21, 'Rd1'!$K$3:$K$27, 0),1)</f>
        <v>#N/A</v>
      </c>
    </row>
    <row r="22" spans="1:14" x14ac:dyDescent="0.2">
      <c r="K22" s="2"/>
    </row>
    <row r="23" spans="1:14" x14ac:dyDescent="0.2">
      <c r="A23" s="3" t="e">
        <f ca="1">INDIRECT("Participants!B"&amp;SUM(K23+1))</f>
        <v>#VALUE!</v>
      </c>
      <c r="B23" s="2">
        <v>7</v>
      </c>
      <c r="C23" s="2" t="e">
        <f ca="1">IF(N23 = N24, IF(RANDBETWEEN(0, 1), "White", "Black"), IF(N23 &gt; N24, "Black", "White"))</f>
        <v>#N/A</v>
      </c>
      <c r="E23" s="2" t="e">
        <f>SUM(INDEX('Rd1'!$E$3:$E$27, MATCH(K23, 'Rd1'!$K$3:$K$27, 0),1), IF(LEN(D23)=0, 0, IF(D23="W", 1, 0)))</f>
        <v>#N/A</v>
      </c>
      <c r="F23" s="2" t="e">
        <f>SUM(INDEX('Rd1'!$F$3:$F$27, MATCH(K23, 'Rd1'!$K$3:$K$27, 0),1), IF(LEN(D23)=0, 0, IF(D23="L", 1, 0)))</f>
        <v>#N/A</v>
      </c>
      <c r="G23" s="2" t="e">
        <f t="shared" ref="G23:G24" si="5">E23&amp;" - "&amp;F23</f>
        <v>#N/A</v>
      </c>
      <c r="H23" s="2" t="e">
        <f ca="1">SUM(INDEX('Rd1'!$H$3:$H$27, MATCH(K23, 'Rd1'!$K$3:$K$27, 0),1), IF(C23="White",1,0))</f>
        <v>#N/A</v>
      </c>
      <c r="I23" s="2" t="e">
        <f ca="1">SUM(INDEX('Rd1'!$I$3:$I$27, MATCH(K23, 'Rd1'!$K$3:$K$27, 0),1), IF(C23="Black",1,0))</f>
        <v>#N/A</v>
      </c>
      <c r="K23" s="2" t="str">
        <f>'Rd1'!M$17</f>
        <v/>
      </c>
      <c r="L23" t="str">
        <f>IF(LEN(D23)=0,"",IF(D23="W", K23,K24))</f>
        <v/>
      </c>
      <c r="M23" t="str">
        <f>IF(LEN(D23)=0,"",IF(D23="W", K24,K23))</f>
        <v/>
      </c>
      <c r="N23" t="e">
        <f>INDEX('Rd1'!$H$3:$H$27, MATCH(K23, 'Rd1'!$K$3:$K$27, 0),1)</f>
        <v>#N/A</v>
      </c>
    </row>
    <row r="24" spans="1:14" x14ac:dyDescent="0.2">
      <c r="A24" s="3" t="e">
        <f ca="1">INDIRECT("Participants!B"&amp;SUM(K24+1))</f>
        <v>#VALUE!</v>
      </c>
      <c r="B24" s="2">
        <v>7</v>
      </c>
      <c r="C24" s="2" t="e">
        <f ca="1">IF(C23="White", "Black", "White")</f>
        <v>#N/A</v>
      </c>
      <c r="D24" s="2" t="str">
        <f>IF(ISBLANK(D23),"",IF(D23="W","L","W"))</f>
        <v/>
      </c>
      <c r="E24" s="2" t="e">
        <f>SUM(INDEX('Rd1'!$E$3:$E$27, MATCH(K24, 'Rd1'!$K$3:$K$27, 0),1), IF(LEN(D24)=0, 0, IF(D24="W", 1, 0)))</f>
        <v>#N/A</v>
      </c>
      <c r="F24" s="2" t="e">
        <f>SUM(INDEX('Rd1'!$F$3:$F$27, MATCH(K24, 'Rd1'!$K$3:$K$27, 0),1), IF(LEN(D24)=0, 0, IF(D24="L", 1, 0)))</f>
        <v>#N/A</v>
      </c>
      <c r="G24" s="2" t="e">
        <f t="shared" si="5"/>
        <v>#N/A</v>
      </c>
      <c r="H24" s="2" t="e">
        <f ca="1">SUM(INDEX('Rd1'!$H$3:$H$27, MATCH(K24, 'Rd1'!$K$3:$K$27, 0),1), IF(C24="White",1,0))</f>
        <v>#N/A</v>
      </c>
      <c r="I24" s="2" t="e">
        <f ca="1">SUM(INDEX('Rd1'!$I$3:$I$27, MATCH(K24, 'Rd1'!$K$3:$K$27, 0),1), IF(C24="Black",1,0))</f>
        <v>#N/A</v>
      </c>
      <c r="K24" s="2" t="str">
        <f>'Rd1'!M$20</f>
        <v/>
      </c>
      <c r="L24" t="str">
        <f>IF(LEN(D24)=0,"",IF(D24="W", K24,K23))</f>
        <v/>
      </c>
      <c r="M24" t="str">
        <f>IF(LEN(D24)=0,"",IF(D24="W", K23,K24))</f>
        <v/>
      </c>
      <c r="N24" t="e">
        <f>INDEX('Rd1'!$H$3:$H$27, MATCH(K24, 'Rd1'!$K$3:$K$27, 0),1)</f>
        <v>#N/A</v>
      </c>
    </row>
    <row r="25" spans="1:14" x14ac:dyDescent="0.2">
      <c r="K25" s="2"/>
    </row>
    <row r="26" spans="1:14" x14ac:dyDescent="0.2">
      <c r="A26" s="3" t="e">
        <f ca="1">INDIRECT("Participants!B"&amp;SUM(K26+1))</f>
        <v>#VALUE!</v>
      </c>
      <c r="B26" s="2">
        <v>8</v>
      </c>
      <c r="C26" s="2" t="e">
        <f ca="1">IF(N26 = N27, IF(RANDBETWEEN(0, 1), "White", "Black"), IF(N26 &gt; N27, "Black", "White"))</f>
        <v>#N/A</v>
      </c>
      <c r="E26" s="2" t="e">
        <f>SUM(INDEX('Rd1'!$E$3:$E$27, MATCH(K26, 'Rd1'!$K$3:$K$27, 0),1), IF(LEN(D26)=0, 0, IF(D26="W", 1, 0)))</f>
        <v>#N/A</v>
      </c>
      <c r="F26" s="2" t="e">
        <f>SUM(INDEX('Rd1'!$F$3:$F$27, MATCH(K26, 'Rd1'!$K$3:$K$27, 0),1), IF(LEN(D26)=0, 0, IF(D26="L", 1, 0)))</f>
        <v>#N/A</v>
      </c>
      <c r="G26" s="2" t="e">
        <f t="shared" ref="G26:G27" si="6">E26&amp;" - "&amp;F26</f>
        <v>#N/A</v>
      </c>
      <c r="H26" s="2" t="e">
        <f ca="1">SUM(INDEX('Rd1'!$H$3:$H$27, MATCH(K26, 'Rd1'!$K$3:$K$27, 0),1), IF(C26="White",1,0))</f>
        <v>#N/A</v>
      </c>
      <c r="I26" s="2" t="e">
        <f ca="1">SUM(INDEX('Rd1'!$I$3:$I$27, MATCH(K26, 'Rd1'!$K$3:$K$27, 0),1), IF(C26="Black",1,0))</f>
        <v>#N/A</v>
      </c>
      <c r="K26" s="2" t="str">
        <f>'Rd1'!M$23</f>
        <v/>
      </c>
      <c r="L26" t="str">
        <f>IF(LEN(D26)=0,"",IF(D26="W", K26,K27))</f>
        <v/>
      </c>
      <c r="M26" t="str">
        <f>IF(LEN(D26)=0,"",IF(D26="W", K27,K26))</f>
        <v/>
      </c>
      <c r="N26" t="e">
        <f>INDEX('Rd1'!$H$3:$H$27, MATCH(K26, 'Rd1'!$K$3:$K$27, 0),1)</f>
        <v>#N/A</v>
      </c>
    </row>
    <row r="27" spans="1:14" x14ac:dyDescent="0.2">
      <c r="A27" s="3" t="e">
        <f ca="1">INDIRECT("Participants!B"&amp;SUM(K27+1))</f>
        <v>#VALUE!</v>
      </c>
      <c r="B27" s="2">
        <v>8</v>
      </c>
      <c r="C27" s="2" t="e">
        <f ca="1">IF(C26="White", "Black", "White")</f>
        <v>#N/A</v>
      </c>
      <c r="D27" s="2" t="str">
        <f>IF(ISBLANK(D26),"",IF(D26="W","L","W"))</f>
        <v/>
      </c>
      <c r="E27" s="2" t="e">
        <f>SUM(INDEX('Rd1'!$E$3:$E$27, MATCH(K27, 'Rd1'!$K$3:$K$27, 0),1), IF(LEN(D27)=0, 0, IF(D27="W", 1, 0)))</f>
        <v>#N/A</v>
      </c>
      <c r="F27" s="2" t="e">
        <f>SUM(INDEX('Rd1'!$F$3:$F$27, MATCH(K27, 'Rd1'!$K$3:$K$27, 0),1), IF(LEN(D27)=0, 0, IF(D27="L", 1, 0)))</f>
        <v>#N/A</v>
      </c>
      <c r="G27" s="2" t="e">
        <f t="shared" si="6"/>
        <v>#N/A</v>
      </c>
      <c r="H27" s="2" t="e">
        <f ca="1">SUM(INDEX('Rd1'!$H$3:$H$27, MATCH(K27, 'Rd1'!$K$3:$K$27, 0),1), IF(C27="White",1,0))</f>
        <v>#N/A</v>
      </c>
      <c r="I27" s="2" t="e">
        <f ca="1">SUM(INDEX('Rd1'!$I$3:$I$27, MATCH(K27, 'Rd1'!$K$3:$K$27, 0),1), IF(C27="Black",1,0))</f>
        <v>#N/A</v>
      </c>
      <c r="K27" s="2" t="str">
        <f>'Rd1'!M$26</f>
        <v/>
      </c>
      <c r="L27" t="str">
        <f>IF(LEN(D27)=0,"",IF(D27="W", K27,K26))</f>
        <v/>
      </c>
      <c r="M27" t="str">
        <f>IF(LEN(D27)=0,"",IF(D27="W", K26,K27))</f>
        <v/>
      </c>
      <c r="N27" t="e">
        <f>INDEX('Rd1'!$H$3:$H$27, MATCH(K27, 'Rd1'!$K$3:$K$27, 0),1)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E12A05-2BDB-234D-B14A-ABA692F369FD}">
          <x14:formula1>
            <xm:f>Utils!$A$2:$A$3</xm:f>
          </x14:formula1>
          <xm:sqref>D3 D6 D9 D12 D17 D20 D23 D26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0DB2D-FC8F-4E4F-A654-FB05C3D8422A}">
  <sheetPr codeName="Sheet6"/>
  <dimension ref="A1:N27"/>
  <sheetViews>
    <sheetView zoomScale="140" zoomScaleNormal="140" workbookViewId="0">
      <selection activeCell="D26" sqref="D26"/>
    </sheetView>
  </sheetViews>
  <sheetFormatPr baseColWidth="10" defaultRowHeight="16" x14ac:dyDescent="0.2"/>
  <cols>
    <col min="1" max="1" width="23.5" style="2" customWidth="1"/>
    <col min="2" max="2" width="17.83203125" style="2" customWidth="1"/>
    <col min="3" max="5" width="17.6640625" style="2" bestFit="1" customWidth="1"/>
    <col min="6" max="6" width="15.1640625" style="2" customWidth="1"/>
    <col min="7" max="7" width="16.33203125" style="2" customWidth="1"/>
    <col min="8" max="8" width="10.5" style="2" customWidth="1"/>
    <col min="9" max="9" width="10.1640625" customWidth="1"/>
    <col min="10" max="10" width="10.83203125" style="6"/>
    <col min="14" max="14" width="15.5" bestFit="1" customWidth="1"/>
  </cols>
  <sheetData>
    <row r="1" spans="1:14" x14ac:dyDescent="0.2">
      <c r="A1" s="1" t="s">
        <v>0</v>
      </c>
    </row>
    <row r="2" spans="1:14" x14ac:dyDescent="0.2">
      <c r="A2" s="1" t="s">
        <v>2</v>
      </c>
      <c r="B2" s="1" t="s">
        <v>5</v>
      </c>
      <c r="C2" s="1" t="s">
        <v>3</v>
      </c>
      <c r="D2" s="4" t="s">
        <v>24</v>
      </c>
      <c r="E2" s="1" t="s">
        <v>22</v>
      </c>
      <c r="F2" s="1" t="s">
        <v>23</v>
      </c>
      <c r="G2" s="1" t="s">
        <v>4</v>
      </c>
      <c r="H2" s="1" t="s">
        <v>28</v>
      </c>
      <c r="I2" s="1" t="s">
        <v>27</v>
      </c>
      <c r="K2" s="1" t="s">
        <v>1</v>
      </c>
      <c r="L2" s="1" t="s">
        <v>30</v>
      </c>
      <c r="M2" s="1" t="s">
        <v>31</v>
      </c>
      <c r="N2" s="1" t="s">
        <v>32</v>
      </c>
    </row>
    <row r="3" spans="1:14" x14ac:dyDescent="0.2">
      <c r="A3"/>
      <c r="I3" s="2"/>
      <c r="K3" s="2"/>
    </row>
    <row r="4" spans="1:14" x14ac:dyDescent="0.2">
      <c r="A4"/>
      <c r="I4" s="2"/>
      <c r="K4" s="2"/>
    </row>
    <row r="5" spans="1:14" x14ac:dyDescent="0.2">
      <c r="A5"/>
      <c r="K5" s="2"/>
    </row>
    <row r="6" spans="1:14" x14ac:dyDescent="0.2">
      <c r="A6"/>
      <c r="I6" s="2"/>
      <c r="K6" s="2"/>
    </row>
    <row r="7" spans="1:14" x14ac:dyDescent="0.2">
      <c r="A7"/>
      <c r="I7" s="2"/>
      <c r="K7" s="2"/>
    </row>
    <row r="8" spans="1:14" x14ac:dyDescent="0.2">
      <c r="A8"/>
      <c r="K8" s="2"/>
    </row>
    <row r="9" spans="1:14" x14ac:dyDescent="0.2">
      <c r="A9"/>
      <c r="I9" s="2"/>
      <c r="K9" s="2"/>
    </row>
    <row r="10" spans="1:14" x14ac:dyDescent="0.2">
      <c r="A10"/>
      <c r="I10" s="2"/>
      <c r="K10" s="2"/>
    </row>
    <row r="11" spans="1:14" x14ac:dyDescent="0.2">
      <c r="A11"/>
      <c r="K11" s="2"/>
    </row>
    <row r="12" spans="1:14" x14ac:dyDescent="0.2">
      <c r="A12"/>
      <c r="I12" s="2"/>
      <c r="K12" s="2"/>
    </row>
    <row r="13" spans="1:14" x14ac:dyDescent="0.2">
      <c r="A13"/>
      <c r="I13" s="2"/>
      <c r="K13" s="2"/>
    </row>
    <row r="14" spans="1:14" x14ac:dyDescent="0.2">
      <c r="K14" s="2"/>
    </row>
    <row r="15" spans="1:14" x14ac:dyDescent="0.2">
      <c r="K15" s="2"/>
    </row>
    <row r="16" spans="1:14" x14ac:dyDescent="0.2">
      <c r="A16" s="1" t="s">
        <v>29</v>
      </c>
      <c r="K16" s="2"/>
    </row>
    <row r="17" spans="1:14" x14ac:dyDescent="0.2">
      <c r="A17" s="3" t="e">
        <f ca="1">INDIRECT("Participants!B"&amp;SUM(K17+1))</f>
        <v>#VALUE!</v>
      </c>
      <c r="B17" s="2">
        <v>1</v>
      </c>
      <c r="C17" s="2" t="e">
        <f ca="1">IF(N17 = N18, IF(RANDBETWEEN(0, 1), "White", "Black"), IF(N17 &gt; N18, "Black", "White"))</f>
        <v>#N/A</v>
      </c>
      <c r="E17" s="2" t="e">
        <f>SUM(INDEX('Rd2'!$E$3:$E$27, MATCH(K17, 'Rd2'!$K$3:$K$27, 0),1), IF(LEN(D17)=0, 0, IF(D17="W", 1, 0)))</f>
        <v>#N/A</v>
      </c>
      <c r="F17" s="2" t="e">
        <f>SUM(INDEX('Rd2'!$F$3:$F$27, MATCH(K17, 'Rd2'!$K$3:$K$27, 0),1), IF(LEN(D17)=0, 0, IF(D17="L", 1, 0)))</f>
        <v>#N/A</v>
      </c>
      <c r="G17" s="2" t="e">
        <f t="shared" ref="G17:G18" si="0">E17&amp;" - "&amp;F17</f>
        <v>#N/A</v>
      </c>
      <c r="H17" s="2" t="e">
        <f ca="1">SUM(INDEX('Rd2'!$H$3:$H$27, MATCH(K17, 'Rd2'!$K$3:$K$27, 0),1), IF(C17="White",1,0))</f>
        <v>#N/A</v>
      </c>
      <c r="I17" s="2" t="e">
        <f ca="1">SUM(INDEX('Rd2'!$I$3:$I$27, MATCH(K17, 'Rd2'!$K$3:$K$27, 0),1), IF(C17="Black",1,0))</f>
        <v>#N/A</v>
      </c>
      <c r="K17" s="2" t="str">
        <f>'Rd2'!M$3</f>
        <v/>
      </c>
      <c r="L17" t="str">
        <f>IF(LEN(D17)=0,"",IF(D17="W", K17,K18))</f>
        <v/>
      </c>
      <c r="M17" t="str">
        <f>IF(LEN(D17)=0,"",IF(D17="W", K18,K17))</f>
        <v/>
      </c>
      <c r="N17" t="e">
        <f ca="1">INDEX('Rd2'!$H$3:$H$27, MATCH(K17, 'Rd2'!$K$3:$K$27, 0),1)</f>
        <v>#N/A</v>
      </c>
    </row>
    <row r="18" spans="1:14" x14ac:dyDescent="0.2">
      <c r="A18" s="3" t="e">
        <f ca="1">INDIRECT("Participants!B"&amp;SUM(K18+1))</f>
        <v>#VALUE!</v>
      </c>
      <c r="B18" s="2">
        <v>1</v>
      </c>
      <c r="C18" s="2" t="e">
        <f ca="1">IF(C17="White", "Black", "White")</f>
        <v>#N/A</v>
      </c>
      <c r="D18" s="2" t="str">
        <f>IF(ISBLANK(D17),"",IF(D17="W","L","W"))</f>
        <v/>
      </c>
      <c r="E18" s="2" t="e">
        <f>SUM(INDEX('Rd2'!$E$3:$E$27, MATCH(K18, 'Rd2'!$K$3:$K$27, 0),1), IF(LEN(D18)=0, 0, IF(D18="W", 1, 0)))</f>
        <v>#N/A</v>
      </c>
      <c r="F18" s="2" t="e">
        <f>SUM(INDEX('Rd2'!$F$3:$F$27, MATCH(K18, 'Rd2'!$K$3:$K$27, 0),1), IF(LEN(D18)=0, 0, IF(D18="L", 1, 0)))</f>
        <v>#N/A</v>
      </c>
      <c r="G18" s="2" t="e">
        <f t="shared" si="0"/>
        <v>#N/A</v>
      </c>
      <c r="H18" s="2" t="e">
        <f ca="1">SUM(INDEX('Rd2'!$H$3:$H$27, MATCH(K18, 'Rd2'!$K$3:$K$27, 0),1), IF(C18="White",1,0))</f>
        <v>#N/A</v>
      </c>
      <c r="I18" s="2" t="e">
        <f ca="1">SUM(INDEX('Rd2'!$I$3:$I$27, MATCH(K18, 'Rd2'!$K$3:$K$27, 0),1), IF(C18="Black",1,0))</f>
        <v>#N/A</v>
      </c>
      <c r="K18" s="2" t="str">
        <f>'Rd2'!L$17</f>
        <v/>
      </c>
      <c r="L18" t="str">
        <f>IF(LEN(D18)=0,"",IF(D18="W", K18,K17))</f>
        <v/>
      </c>
      <c r="M18" t="str">
        <f>IF(LEN(D18)=0,"",IF(D18="W", K17,K18))</f>
        <v/>
      </c>
      <c r="N18" t="e">
        <f ca="1">INDEX('Rd2'!$H$3:$H$27, MATCH(K18, 'Rd2'!$K$3:$K$27, 0),1)</f>
        <v>#N/A</v>
      </c>
    </row>
    <row r="19" spans="1:14" x14ac:dyDescent="0.2">
      <c r="K19" s="2"/>
    </row>
    <row r="20" spans="1:14" x14ac:dyDescent="0.2">
      <c r="A20" s="3" t="e">
        <f ca="1">INDIRECT("Participants!B"&amp;SUM(K20+1))</f>
        <v>#VALUE!</v>
      </c>
      <c r="B20" s="2">
        <v>2</v>
      </c>
      <c r="C20" s="2" t="e">
        <f ca="1">IF(N20 = N21, IF(RANDBETWEEN(0, 1), "White", "Black"), IF(N20 &gt; N21, "Black", "White"))</f>
        <v>#N/A</v>
      </c>
      <c r="E20" s="2" t="e">
        <f>SUM(INDEX('Rd2'!$E$3:$E$27, MATCH(K20, 'Rd2'!$K$3:$K$27, 0),1), IF(LEN(D20)=0, 0, IF(D20="W", 1, 0)))</f>
        <v>#N/A</v>
      </c>
      <c r="F20" s="2" t="e">
        <f>SUM(INDEX('Rd2'!$F$3:$F$27, MATCH(K20, 'Rd2'!$K$3:$K$27, 0),1), IF(LEN(D20)=0, 0, IF(D20="L", 1, 0)))</f>
        <v>#N/A</v>
      </c>
      <c r="G20" s="2" t="e">
        <f t="shared" ref="G20:G21" si="1">E20&amp;" - "&amp;F20</f>
        <v>#N/A</v>
      </c>
      <c r="H20" s="2" t="e">
        <f ca="1">SUM(INDEX('Rd2'!$H$3:$H$27, MATCH(K20, 'Rd2'!$K$3:$K$27, 0),1), IF(C20="White",1,0))</f>
        <v>#N/A</v>
      </c>
      <c r="I20" s="2" t="e">
        <f ca="1">SUM(INDEX('Rd2'!$I$3:$I$27, MATCH(K20, 'Rd2'!$K$3:$K$27, 0),1), IF(C20="Black",1,0))</f>
        <v>#N/A</v>
      </c>
      <c r="K20" s="2" t="str">
        <f>'Rd2'!M$6</f>
        <v/>
      </c>
      <c r="L20" t="str">
        <f>IF(LEN(D20)=0,"",IF(D20="W", K20,K21))</f>
        <v/>
      </c>
      <c r="M20" t="str">
        <f>IF(LEN(D20)=0,"",IF(D20="W", K21,K20))</f>
        <v/>
      </c>
      <c r="N20" t="e">
        <f ca="1">INDEX('Rd2'!$H$3:$H$27, MATCH(K20, 'Rd2'!$K$3:$K$27, 0),1)</f>
        <v>#N/A</v>
      </c>
    </row>
    <row r="21" spans="1:14" x14ac:dyDescent="0.2">
      <c r="A21" s="3" t="e">
        <f ca="1">INDIRECT("Participants!B"&amp;SUM(K21+1))</f>
        <v>#VALUE!</v>
      </c>
      <c r="B21" s="2">
        <v>2</v>
      </c>
      <c r="C21" s="2" t="e">
        <f ca="1">IF(C20="White", "Black", "White")</f>
        <v>#N/A</v>
      </c>
      <c r="D21" s="2" t="str">
        <f>IF(ISBLANK(D20),"",IF(D20="W","L","W"))</f>
        <v/>
      </c>
      <c r="E21" s="2" t="e">
        <f>SUM(INDEX('Rd2'!$E$3:$E$27, MATCH(K21, 'Rd2'!$K$3:$K$27, 0),1), IF(LEN(D21)=0, 0, IF(D21="W", 1, 0)))</f>
        <v>#N/A</v>
      </c>
      <c r="F21" s="2" t="e">
        <f>SUM(INDEX('Rd2'!$F$3:$F$27, MATCH(K21, 'Rd2'!$K$3:$K$27, 0),1), IF(LEN(D21)=0, 0, IF(D21="L", 1, 0)))</f>
        <v>#N/A</v>
      </c>
      <c r="G21" s="2" t="e">
        <f t="shared" si="1"/>
        <v>#N/A</v>
      </c>
      <c r="H21" s="2" t="e">
        <f ca="1">SUM(INDEX('Rd2'!$H$3:$H$27, MATCH(K21, 'Rd2'!$K$3:$K$27, 0),1), IF(C21="White",1,0))</f>
        <v>#N/A</v>
      </c>
      <c r="I21" s="2" t="e">
        <f ca="1">SUM(INDEX('Rd2'!$I$3:$I$27, MATCH(K21, 'Rd2'!$K$3:$K$27, 0),1), IF(C21="Black",1,0))</f>
        <v>#N/A</v>
      </c>
      <c r="K21" s="2" t="str">
        <f>'Rd2'!L$20</f>
        <v/>
      </c>
      <c r="L21" t="str">
        <f>IF(LEN(D21)=0,"",IF(D21="W", K21,K20))</f>
        <v/>
      </c>
      <c r="M21" t="str">
        <f>IF(LEN(D21)=0,"",IF(D21="W", K20,K21))</f>
        <v/>
      </c>
      <c r="N21" t="e">
        <f ca="1">INDEX('Rd2'!$H$3:$H$27, MATCH(K21, 'Rd2'!$K$3:$K$27, 0),1)</f>
        <v>#N/A</v>
      </c>
    </row>
    <row r="22" spans="1:14" x14ac:dyDescent="0.2">
      <c r="K22" s="2"/>
    </row>
    <row r="23" spans="1:14" x14ac:dyDescent="0.2">
      <c r="A23" s="3" t="e">
        <f ca="1">INDIRECT("Participants!B"&amp;SUM(K23+1))</f>
        <v>#VALUE!</v>
      </c>
      <c r="B23" s="2">
        <v>3</v>
      </c>
      <c r="C23" s="2" t="e">
        <f ca="1">IF(N23 = N24, IF(RANDBETWEEN(0, 1), "White", "Black"), IF(N23 &gt; N24, "Black", "White"))</f>
        <v>#N/A</v>
      </c>
      <c r="E23" s="2" t="e">
        <f>SUM(INDEX('Rd2'!$E$3:$E$27, MATCH(K23, 'Rd2'!$K$3:$K$27, 0),1), IF(LEN(D23)=0, 0, IF(D23="W", 1, 0)))</f>
        <v>#N/A</v>
      </c>
      <c r="F23" s="2" t="e">
        <f>SUM(INDEX('Rd2'!$F$3:$F$27, MATCH(K23, 'Rd2'!$K$3:$K$27, 0),1), IF(LEN(D23)=0, 0, IF(D23="L", 1, 0)))</f>
        <v>#N/A</v>
      </c>
      <c r="G23" s="2" t="e">
        <f t="shared" ref="G23:G24" si="2">E23&amp;" - "&amp;F23</f>
        <v>#N/A</v>
      </c>
      <c r="H23" s="2" t="e">
        <f ca="1">SUM(INDEX('Rd2'!$H$3:$H$27, MATCH(K23, 'Rd2'!$K$3:$K$27, 0),1), IF(C23="White",1,0))</f>
        <v>#N/A</v>
      </c>
      <c r="I23" s="2" t="e">
        <f ca="1">SUM(INDEX('Rd2'!$I$3:$I$27, MATCH(K23, 'Rd2'!$K$3:$K$27, 0),1), IF(C23="Black",1,0))</f>
        <v>#N/A</v>
      </c>
      <c r="K23" s="2" t="str">
        <f>'Rd2'!M$9</f>
        <v/>
      </c>
      <c r="L23" t="str">
        <f>IF(LEN(D23)=0,"",IF(D23="W", K23,K24))</f>
        <v/>
      </c>
      <c r="M23" t="str">
        <f>IF(LEN(D23)=0,"",IF(D23="W", K24,K23))</f>
        <v/>
      </c>
      <c r="N23" t="e">
        <f ca="1">INDEX('Rd2'!$H$3:$H$27, MATCH(K23, 'Rd2'!$K$3:$K$27, 0),1)</f>
        <v>#N/A</v>
      </c>
    </row>
    <row r="24" spans="1:14" x14ac:dyDescent="0.2">
      <c r="A24" s="3" t="e">
        <f ca="1">INDIRECT("Participants!B"&amp;SUM(K24+1))</f>
        <v>#VALUE!</v>
      </c>
      <c r="B24" s="2">
        <v>3</v>
      </c>
      <c r="C24" s="2" t="e">
        <f ca="1">IF(C23="White", "Black", "White")</f>
        <v>#N/A</v>
      </c>
      <c r="D24" s="2" t="str">
        <f>IF(ISBLANK(D23),"",IF(D23="W","L","W"))</f>
        <v/>
      </c>
      <c r="E24" s="2" t="e">
        <f>SUM(INDEX('Rd2'!$E$3:$E$27, MATCH(K24, 'Rd2'!$K$3:$K$27, 0),1), IF(LEN(D24)=0, 0, IF(D24="W", 1, 0)))</f>
        <v>#N/A</v>
      </c>
      <c r="F24" s="2" t="e">
        <f>SUM(INDEX('Rd2'!$F$3:$F$27, MATCH(K24, 'Rd2'!$K$3:$K$27, 0),1), IF(LEN(D24)=0, 0, IF(D24="L", 1, 0)))</f>
        <v>#N/A</v>
      </c>
      <c r="G24" s="2" t="e">
        <f t="shared" si="2"/>
        <v>#N/A</v>
      </c>
      <c r="H24" s="2" t="e">
        <f ca="1">SUM(INDEX('Rd2'!$H$3:$H$27, MATCH(K24, 'Rd2'!$K$3:$K$27, 0),1), IF(C24="White",1,0))</f>
        <v>#N/A</v>
      </c>
      <c r="I24" s="2" t="e">
        <f ca="1">SUM(INDEX('Rd2'!$I$3:$I$27, MATCH(K24, 'Rd2'!$K$3:$K$27, 0),1), IF(C24="Black",1,0))</f>
        <v>#N/A</v>
      </c>
      <c r="K24" s="2" t="str">
        <f>'Rd2'!L$23</f>
        <v/>
      </c>
      <c r="L24" t="str">
        <f>IF(LEN(D24)=0,"",IF(D24="W", K24,K23))</f>
        <v/>
      </c>
      <c r="M24" t="str">
        <f>IF(LEN(D24)=0,"",IF(D24="W", K23,K24))</f>
        <v/>
      </c>
      <c r="N24" t="e">
        <f ca="1">INDEX('Rd2'!$H$3:$H$27, MATCH(K24, 'Rd2'!$K$3:$K$27, 0),1)</f>
        <v>#N/A</v>
      </c>
    </row>
    <row r="25" spans="1:14" x14ac:dyDescent="0.2">
      <c r="K25" s="2"/>
    </row>
    <row r="26" spans="1:14" x14ac:dyDescent="0.2">
      <c r="A26" s="3" t="e">
        <f ca="1">INDIRECT("Participants!B"&amp;SUM(K26+1))</f>
        <v>#VALUE!</v>
      </c>
      <c r="B26" s="2">
        <v>4</v>
      </c>
      <c r="C26" s="2" t="e">
        <f ca="1">IF(N26 = N27, IF(RANDBETWEEN(0, 1), "White", "Black"), IF(N26 &gt; N27, "Black", "White"))</f>
        <v>#N/A</v>
      </c>
      <c r="E26" s="2" t="e">
        <f>SUM(INDEX('Rd2'!$E$3:$E$27, MATCH(K26, 'Rd2'!$K$3:$K$27, 0),1), IF(LEN(D26)=0, 0, IF(D26="W", 1, 0)))</f>
        <v>#N/A</v>
      </c>
      <c r="F26" s="2" t="e">
        <f>SUM(INDEX('Rd2'!$F$3:$F$27, MATCH(K26, 'Rd2'!$K$3:$K$27, 0),1), IF(LEN(D26)=0, 0, IF(D26="L", 1, 0)))</f>
        <v>#N/A</v>
      </c>
      <c r="G26" s="2" t="e">
        <f t="shared" ref="G26:G27" si="3">E26&amp;" - "&amp;F26</f>
        <v>#N/A</v>
      </c>
      <c r="H26" s="2" t="e">
        <f ca="1">SUM(INDEX('Rd2'!$H$3:$H$27, MATCH(K26, 'Rd2'!$K$3:$K$27, 0),1), IF(C26="White",1,0))</f>
        <v>#N/A</v>
      </c>
      <c r="I26" s="2" t="e">
        <f ca="1">SUM(INDEX('Rd2'!$I$3:$I$27, MATCH(K26, 'Rd2'!$K$3:$K$27, 0),1), IF(C26="Black",1,0))</f>
        <v>#N/A</v>
      </c>
      <c r="K26" s="2" t="str">
        <f>'Rd2'!M$12</f>
        <v/>
      </c>
      <c r="L26" t="str">
        <f>IF(LEN(D26)=0,"",IF(D26="W", K26,K27))</f>
        <v/>
      </c>
      <c r="M26" t="str">
        <f>IF(LEN(D26)=0,"",IF(D26="W", K27,K26))</f>
        <v/>
      </c>
      <c r="N26" t="e">
        <f ca="1">INDEX('Rd2'!$H$3:$H$27, MATCH(K26, 'Rd2'!$K$3:$K$27, 0),1)</f>
        <v>#N/A</v>
      </c>
    </row>
    <row r="27" spans="1:14" x14ac:dyDescent="0.2">
      <c r="A27" s="3" t="e">
        <f ca="1">INDIRECT("Participants!B"&amp;SUM(K27+1))</f>
        <v>#VALUE!</v>
      </c>
      <c r="B27" s="2">
        <v>4</v>
      </c>
      <c r="C27" s="2" t="e">
        <f ca="1">IF(C26="White", "Black", "White")</f>
        <v>#N/A</v>
      </c>
      <c r="D27" s="2" t="str">
        <f>IF(ISBLANK(D26),"",IF(D26="W","L","W"))</f>
        <v/>
      </c>
      <c r="E27" s="2" t="e">
        <f>SUM(INDEX('Rd2'!$E$3:$E$27, MATCH(K27, 'Rd2'!$K$3:$K$27, 0),1), IF(LEN(D27)=0, 0, IF(D27="W", 1, 0)))</f>
        <v>#N/A</v>
      </c>
      <c r="F27" s="2" t="e">
        <f>SUM(INDEX('Rd2'!$F$3:$F$27, MATCH(K27, 'Rd2'!$K$3:$K$27, 0),1), IF(LEN(D27)=0, 0, IF(D27="L", 1, 0)))</f>
        <v>#N/A</v>
      </c>
      <c r="G27" s="2" t="e">
        <f t="shared" si="3"/>
        <v>#N/A</v>
      </c>
      <c r="H27" s="2" t="e">
        <f ca="1">SUM(INDEX('Rd2'!$H$3:$H$27, MATCH(K27, 'Rd2'!$K$3:$K$27, 0),1), IF(C27="White",1,0))</f>
        <v>#N/A</v>
      </c>
      <c r="I27" s="2" t="e">
        <f ca="1">SUM(INDEX('Rd2'!$I$3:$I$27, MATCH(K27, 'Rd2'!$K$3:$K$27, 0),1), IF(C27="Black",1,0))</f>
        <v>#N/A</v>
      </c>
      <c r="K27" s="2" t="str">
        <f>'Rd2'!L$26</f>
        <v/>
      </c>
      <c r="L27" t="str">
        <f>IF(LEN(D27)=0,"",IF(D27="W", K27,K26))</f>
        <v/>
      </c>
      <c r="M27" t="str">
        <f>IF(LEN(D27)=0,"",IF(D27="W", K26,K27))</f>
        <v/>
      </c>
      <c r="N27" t="e">
        <f ca="1">INDEX('Rd2'!$H$3:$H$27, MATCH(K27, 'Rd2'!$K$3:$K$27, 0),1)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013CB1-2D7F-F64B-AE3C-14872172F573}">
          <x14:formula1>
            <xm:f>Utils!$A$2:$A$3</xm:f>
          </x14:formula1>
          <xm:sqref>D3 D6 D9 D12 D17 D20 D23 D26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121CC-CB38-E545-95FF-03E852582340}">
  <sheetPr codeName="Sheet7"/>
  <dimension ref="A1:N27"/>
  <sheetViews>
    <sheetView zoomScale="140" zoomScaleNormal="140" workbookViewId="0">
      <selection activeCell="D20" sqref="D20"/>
    </sheetView>
  </sheetViews>
  <sheetFormatPr baseColWidth="10" defaultRowHeight="16" x14ac:dyDescent="0.2"/>
  <cols>
    <col min="1" max="1" width="23.5" style="2" customWidth="1"/>
    <col min="2" max="2" width="17.83203125" style="2" customWidth="1"/>
    <col min="3" max="5" width="17.6640625" style="2" bestFit="1" customWidth="1"/>
    <col min="6" max="6" width="15.1640625" style="2" customWidth="1"/>
    <col min="7" max="7" width="16.33203125" style="2" customWidth="1"/>
    <col min="8" max="8" width="10.5" style="2" customWidth="1"/>
    <col min="9" max="9" width="10.1640625" customWidth="1"/>
    <col min="10" max="10" width="10.83203125" style="6"/>
    <col min="14" max="14" width="15.5" bestFit="1" customWidth="1"/>
  </cols>
  <sheetData>
    <row r="1" spans="1:14" x14ac:dyDescent="0.2">
      <c r="A1" s="1" t="s">
        <v>0</v>
      </c>
    </row>
    <row r="2" spans="1:14" x14ac:dyDescent="0.2">
      <c r="A2" s="1" t="s">
        <v>2</v>
      </c>
      <c r="B2" s="1" t="s">
        <v>5</v>
      </c>
      <c r="C2" s="1" t="s">
        <v>3</v>
      </c>
      <c r="D2" s="4" t="s">
        <v>24</v>
      </c>
      <c r="E2" s="1" t="s">
        <v>22</v>
      </c>
      <c r="F2" s="1" t="s">
        <v>23</v>
      </c>
      <c r="G2" s="1" t="s">
        <v>4</v>
      </c>
      <c r="H2" s="1" t="s">
        <v>28</v>
      </c>
      <c r="I2" s="1" t="s">
        <v>27</v>
      </c>
      <c r="K2" s="1" t="s">
        <v>1</v>
      </c>
      <c r="L2" s="1" t="s">
        <v>30</v>
      </c>
      <c r="M2" s="1" t="s">
        <v>31</v>
      </c>
      <c r="N2" s="1" t="s">
        <v>32</v>
      </c>
    </row>
    <row r="3" spans="1:14" x14ac:dyDescent="0.2">
      <c r="A3" s="3" t="e">
        <f ca="1">INDIRECT("Participants!B"&amp;SUM(K3+1))</f>
        <v>#VALUE!</v>
      </c>
      <c r="B3" s="2">
        <v>1</v>
      </c>
      <c r="C3" s="2" t="e">
        <f ca="1">IF(N3 = N4, IF(RANDBETWEEN(0, 1), "White", "Black"), IF(N3 &gt; N4, "Black", "White"))</f>
        <v>#N/A</v>
      </c>
      <c r="E3" s="2" t="e">
        <f>SUM(INDEX('Rd2'!$E$3:$E$27, MATCH(K3, 'Rd2'!$K$3:$K$27, 0),1), IF(LEN(D3)=0, 0, IF(D3="W", 1, 0)))</f>
        <v>#N/A</v>
      </c>
      <c r="F3" s="2" t="e">
        <f>SUM(INDEX('Rd2'!$F$3:$F$27, MATCH(K3, 'Rd2'!$K$3:$K$27, 0),1), IF(LEN(D3)=0, 0, IF(D3="L", 1, 0)))</f>
        <v>#N/A</v>
      </c>
      <c r="G3" s="2" t="e">
        <f t="shared" ref="G3:G4" si="0">E3&amp;" - "&amp;F3</f>
        <v>#N/A</v>
      </c>
      <c r="H3" s="2" t="e">
        <f ca="1">SUM(INDEX('Rd2'!$H$3:$H$27, MATCH(K3, 'Rd2'!$K$3:$K$27, 0),1), IF(C3="White",1,0))</f>
        <v>#N/A</v>
      </c>
      <c r="I3" s="2" t="e">
        <f ca="1">SUM(INDEX('Rd2'!$I$3:$I$27, MATCH(K3, 'Rd2'!$K$3:$K$27, 0),1), IF(C3="Black",1,0))</f>
        <v>#N/A</v>
      </c>
      <c r="K3" s="2" t="str">
        <f>'Rd2'!L$3</f>
        <v/>
      </c>
      <c r="L3" t="str">
        <f>IF(LEN(D3)=0,"",IF(D3="W", K3,K4))</f>
        <v/>
      </c>
      <c r="M3" t="str">
        <f>IF(LEN(D3)=0,"",IF(D3="W", K4,K3))</f>
        <v/>
      </c>
      <c r="N3" t="e">
        <f ca="1">INDEX('Rd2'!$H$3:$H$27, MATCH(K3, 'Rd2'!$K$3:$K$27, 0),1)</f>
        <v>#N/A</v>
      </c>
    </row>
    <row r="4" spans="1:14" x14ac:dyDescent="0.2">
      <c r="A4" s="3" t="e">
        <f ca="1">INDIRECT("Participants!B"&amp;SUM(K4+1))</f>
        <v>#VALUE!</v>
      </c>
      <c r="B4" s="2">
        <v>1</v>
      </c>
      <c r="C4" s="2" t="e">
        <f ca="1">IF(C3="White", "Black", "White")</f>
        <v>#N/A</v>
      </c>
      <c r="D4" s="2" t="str">
        <f>IF(ISBLANK(D3),"",IF(D3="W","L","W"))</f>
        <v/>
      </c>
      <c r="E4" s="2" t="e">
        <f>SUM(INDEX('Rd2'!$E$3:$E$27, MATCH(K4, 'Rd2'!$K$3:$K$27, 0),1), IF(LEN(D4)=0, 0, IF(D4="W", 1, 0)))</f>
        <v>#N/A</v>
      </c>
      <c r="F4" s="2" t="e">
        <f>SUM(INDEX('Rd2'!$F$3:$F$27, MATCH(K4, 'Rd2'!$K$3:$K$27, 0),1), IF(LEN(D4)=0, 0, IF(D4="L", 1, 0)))</f>
        <v>#N/A</v>
      </c>
      <c r="G4" s="2" t="e">
        <f t="shared" si="0"/>
        <v>#N/A</v>
      </c>
      <c r="H4" s="2" t="e">
        <f ca="1">SUM(INDEX('Rd2'!$H$3:$H$27, MATCH(K4, 'Rd2'!$K$3:$K$27, 0),1), IF(C4="White",1,0))</f>
        <v>#N/A</v>
      </c>
      <c r="I4" s="2" t="e">
        <f ca="1">SUM(INDEX('Rd2'!$I$3:$I$27, MATCH(K4, 'Rd2'!$K$3:$K$27, 0),1), IF(C4="Black",1,0))</f>
        <v>#N/A</v>
      </c>
      <c r="K4" s="2" t="str">
        <f>'Rd2'!L$6</f>
        <v/>
      </c>
      <c r="L4" t="str">
        <f>IF(LEN(D4)=0,"",IF(D4="W", K4,K3))</f>
        <v/>
      </c>
      <c r="M4" t="str">
        <f>IF(LEN(D4)=0,"",IF(D4="W", K3,K4))</f>
        <v/>
      </c>
      <c r="N4" t="e">
        <f ca="1">INDEX('Rd2'!$H$3:$H$27, MATCH(K4, 'Rd2'!$K$3:$K$27, 0),1)</f>
        <v>#N/A</v>
      </c>
    </row>
    <row r="5" spans="1:14" x14ac:dyDescent="0.2">
      <c r="K5" s="2"/>
    </row>
    <row r="6" spans="1:14" x14ac:dyDescent="0.2">
      <c r="A6" s="3" t="e">
        <f ca="1">INDIRECT("Participants!B"&amp;SUM(K6+1))</f>
        <v>#VALUE!</v>
      </c>
      <c r="B6" s="2">
        <v>2</v>
      </c>
      <c r="C6" s="2" t="e">
        <f ca="1">IF(N6 = N7, IF(RANDBETWEEN(0, 1), "White", "Black"), IF(N6 &gt; N7, "Black", "White"))</f>
        <v>#N/A</v>
      </c>
      <c r="E6" s="2" t="e">
        <f>SUM(INDEX('Rd2'!$E$3:$E$27, MATCH(K6, 'Rd2'!$K$3:$K$27, 0),1), IF(LEN(D6)=0, 0, IF(D6="W", 1, 0)))</f>
        <v>#N/A</v>
      </c>
      <c r="F6" s="2" t="e">
        <f>SUM(INDEX('Rd2'!$F$3:$F$27, MATCH(K6, 'Rd2'!$K$3:$K$27, 0),1), IF(LEN(D6)=0, 0, IF(D6="L", 1, 0)))</f>
        <v>#N/A</v>
      </c>
      <c r="G6" s="2" t="e">
        <f t="shared" ref="G6:G7" si="1">E6&amp;" - "&amp;F6</f>
        <v>#N/A</v>
      </c>
      <c r="H6" s="2" t="e">
        <f ca="1">SUM(INDEX('Rd2'!$H$3:$H$27, MATCH(K6, 'Rd2'!$K$3:$K$27, 0),1), IF(C6="White",1,0))</f>
        <v>#N/A</v>
      </c>
      <c r="I6" s="2" t="e">
        <f ca="1">SUM(INDEX('Rd2'!$I$3:$I$27, MATCH(K6, 'Rd2'!$K$3:$K$27, 0),1), IF(C6="Black",1,0))</f>
        <v>#N/A</v>
      </c>
      <c r="K6" s="2" t="str">
        <f>'Rd2'!L$9</f>
        <v/>
      </c>
      <c r="L6" t="str">
        <f>IF(LEN(D6)=0,"",IF(D6="W", K6,K7))</f>
        <v/>
      </c>
      <c r="M6" t="str">
        <f>IF(LEN(D6)=0,"",IF(D6="W", K7,K6))</f>
        <v/>
      </c>
      <c r="N6" t="e">
        <f ca="1">INDEX('Rd2'!$H$3:$H$27, MATCH(K6, 'Rd2'!$K$3:$K$27, 0),1)</f>
        <v>#N/A</v>
      </c>
    </row>
    <row r="7" spans="1:14" x14ac:dyDescent="0.2">
      <c r="A7" s="3" t="e">
        <f ca="1">INDIRECT("Participants!B"&amp;SUM(K7+1))</f>
        <v>#VALUE!</v>
      </c>
      <c r="B7" s="2">
        <v>2</v>
      </c>
      <c r="C7" s="2" t="e">
        <f ca="1">IF(C6="White", "Black", "White")</f>
        <v>#N/A</v>
      </c>
      <c r="D7" s="2" t="str">
        <f>IF(ISBLANK(D6),"",IF(D6="W","L","W"))</f>
        <v/>
      </c>
      <c r="E7" s="2" t="e">
        <f>SUM(INDEX('Rd2'!$E$3:$E$27, MATCH(K7, 'Rd2'!$K$3:$K$27, 0),1), IF(LEN(D7)=0, 0, IF(D7="W", 1, 0)))</f>
        <v>#N/A</v>
      </c>
      <c r="F7" s="2" t="e">
        <f>SUM(INDEX('Rd2'!$F$3:$F$27, MATCH(K7, 'Rd2'!$K$3:$K$27, 0),1), IF(LEN(D7)=0, 0, IF(D7="L", 1, 0)))</f>
        <v>#N/A</v>
      </c>
      <c r="G7" s="2" t="e">
        <f t="shared" si="1"/>
        <v>#N/A</v>
      </c>
      <c r="H7" s="2" t="e">
        <f ca="1">SUM(INDEX('Rd2'!$H$3:$H$27, MATCH(K7, 'Rd2'!$K$3:$K$27, 0),1), IF(C7="White",1,0))</f>
        <v>#N/A</v>
      </c>
      <c r="I7" s="2" t="e">
        <f ca="1">SUM(INDEX('Rd2'!$I$3:$I$27, MATCH(K7, 'Rd2'!$K$3:$K$27, 0),1), IF(C7="Black",1,0))</f>
        <v>#N/A</v>
      </c>
      <c r="K7" s="2" t="str">
        <f>'Rd2'!L$12</f>
        <v/>
      </c>
      <c r="L7" t="str">
        <f>IF(LEN(D7)=0,"",IF(D7="W", K7,K6))</f>
        <v/>
      </c>
      <c r="M7" t="str">
        <f>IF(LEN(D7)=0,"",IF(D7="W", K6,K7))</f>
        <v/>
      </c>
      <c r="N7" t="e">
        <f ca="1">INDEX('Rd2'!$H$3:$H$27, MATCH(K7, 'Rd2'!$K$3:$K$27, 0),1)</f>
        <v>#N/A</v>
      </c>
    </row>
    <row r="8" spans="1:14" x14ac:dyDescent="0.2">
      <c r="A8"/>
      <c r="K8" s="2"/>
    </row>
    <row r="9" spans="1:14" x14ac:dyDescent="0.2">
      <c r="A9"/>
      <c r="I9" s="2"/>
      <c r="K9" s="2"/>
    </row>
    <row r="10" spans="1:14" x14ac:dyDescent="0.2">
      <c r="A10"/>
      <c r="I10" s="2"/>
      <c r="K10" s="2"/>
    </row>
    <row r="11" spans="1:14" x14ac:dyDescent="0.2">
      <c r="A11"/>
      <c r="K11" s="2"/>
    </row>
    <row r="12" spans="1:14" x14ac:dyDescent="0.2">
      <c r="A12"/>
      <c r="I12" s="2"/>
      <c r="K12" s="2"/>
    </row>
    <row r="13" spans="1:14" x14ac:dyDescent="0.2">
      <c r="A13"/>
      <c r="I13" s="2"/>
      <c r="K13" s="2"/>
    </row>
    <row r="14" spans="1:14" x14ac:dyDescent="0.2">
      <c r="K14" s="2"/>
    </row>
    <row r="15" spans="1:14" x14ac:dyDescent="0.2">
      <c r="K15" s="2"/>
    </row>
    <row r="16" spans="1:14" x14ac:dyDescent="0.2">
      <c r="A16" s="1" t="s">
        <v>29</v>
      </c>
      <c r="K16" s="2"/>
    </row>
    <row r="17" spans="1:14" x14ac:dyDescent="0.2">
      <c r="A17" s="3" t="e">
        <f ca="1">INDIRECT("Participants!B"&amp;SUM(K17+1))</f>
        <v>#VALUE!</v>
      </c>
      <c r="B17" s="2">
        <v>3</v>
      </c>
      <c r="C17" s="2" t="e">
        <f ca="1">IF(N17 = N18, IF(RANDBETWEEN(0, 1), "White", "Black"), IF(N17 &gt; N18, "Black", "White"))</f>
        <v>#N/A</v>
      </c>
      <c r="E17" s="2" t="e">
        <f>SUM(INDEX('Rd3'!$E$3:$E$27, MATCH(K17, 'Rd3'!$K$3:$K$27, 0),1), IF(LEN(D17)=0, 0, IF(D17="W", 1, 0)))</f>
        <v>#N/A</v>
      </c>
      <c r="F17" s="2" t="e">
        <f>SUM(INDEX('Rd3'!$F$3:$F$27, MATCH(K17, 'Rd3'!$K$3:$K$27, 0),1), IF(LEN(D17)=0, 0, IF(D17="L", 1, 0)))</f>
        <v>#N/A</v>
      </c>
      <c r="G17" s="2" t="e">
        <f t="shared" ref="G17:G18" si="2">E17&amp;" - "&amp;F17</f>
        <v>#N/A</v>
      </c>
      <c r="H17" s="2" t="e">
        <f ca="1">SUM(INDEX('Rd3'!$H$3:$H$27, MATCH(K17, 'Rd3'!$K$3:$K$27, 0),1), IF(C17="White",1,0))</f>
        <v>#N/A</v>
      </c>
      <c r="I17" s="2" t="e">
        <f ca="1">SUM(INDEX('Rd3'!$I$3:$I$27, MATCH(K17, 'Rd3'!$K$3:$K$27, 0),1), IF(C17="Black",1,0))</f>
        <v>#N/A</v>
      </c>
      <c r="K17" s="2" t="str">
        <f>'Rd3'!L$17</f>
        <v/>
      </c>
      <c r="L17" t="str">
        <f>IF(LEN(D17)=0,"",IF(D17="W", K17,K18))</f>
        <v/>
      </c>
      <c r="M17" t="str">
        <f>IF(LEN(D17)=0,"",IF(D17="W", K18,K17))</f>
        <v/>
      </c>
      <c r="N17" t="e">
        <f ca="1">INDEX('Rd3'!$H$3:$H$27, MATCH(K17, 'Rd3'!$K$3:$K$27, 0),1)</f>
        <v>#N/A</v>
      </c>
    </row>
    <row r="18" spans="1:14" x14ac:dyDescent="0.2">
      <c r="A18" s="3" t="e">
        <f ca="1">INDIRECT("Participants!B"&amp;SUM(K18+1))</f>
        <v>#VALUE!</v>
      </c>
      <c r="B18" s="2">
        <v>3</v>
      </c>
      <c r="C18" s="2" t="e">
        <f ca="1">IF(C17="White", "Black", "White")</f>
        <v>#N/A</v>
      </c>
      <c r="D18" s="2" t="str">
        <f>IF(ISBLANK(D17),"",IF(D17="W","L","W"))</f>
        <v/>
      </c>
      <c r="E18" s="2" t="e">
        <f>SUM(INDEX('Rd3'!$E$3:$E$27, MATCH(K18, 'Rd3'!$K$3:$K$27, 0),1), IF(LEN(D18)=0, 0, IF(D18="W", 1, 0)))</f>
        <v>#N/A</v>
      </c>
      <c r="F18" s="2" t="e">
        <f>SUM(INDEX('Rd3'!$F$3:$F$27, MATCH(K18, 'Rd3'!$K$3:$K$27, 0),1), IF(LEN(D18)=0, 0, IF(D18="L", 1, 0)))</f>
        <v>#N/A</v>
      </c>
      <c r="G18" s="2" t="e">
        <f t="shared" si="2"/>
        <v>#N/A</v>
      </c>
      <c r="H18" s="2" t="e">
        <f ca="1">SUM(INDEX('Rd3'!$H$3:$H$27, MATCH(K18, 'Rd3'!$K$3:$K$27, 0),1), IF(C18="White",1,0))</f>
        <v>#N/A</v>
      </c>
      <c r="I18" s="2" t="e">
        <f ca="1">SUM(INDEX('Rd3'!$I$3:$I$27, MATCH(K18, 'Rd3'!$K$3:$K$27, 0),1), IF(C18="Black",1,0))</f>
        <v>#N/A</v>
      </c>
      <c r="K18" s="2" t="str">
        <f>'Rd3'!L$20</f>
        <v/>
      </c>
      <c r="L18" t="str">
        <f>IF(LEN(D18)=0,"",IF(D18="W", K18,K17))</f>
        <v/>
      </c>
      <c r="M18" t="str">
        <f>IF(LEN(D18)=0,"",IF(D18="W", K17,K18))</f>
        <v/>
      </c>
      <c r="N18" t="e">
        <f ca="1">INDEX('Rd3'!$H$3:$H$27, MATCH(K18, 'Rd3'!$K$3:$K$27, 0),1)</f>
        <v>#N/A</v>
      </c>
    </row>
    <row r="19" spans="1:14" x14ac:dyDescent="0.2">
      <c r="K19" s="2"/>
    </row>
    <row r="20" spans="1:14" x14ac:dyDescent="0.2">
      <c r="A20" s="3" t="e">
        <f ca="1">INDIRECT("Participants!B"&amp;SUM(K20+1))</f>
        <v>#VALUE!</v>
      </c>
      <c r="B20" s="2">
        <v>4</v>
      </c>
      <c r="C20" s="2" t="e">
        <f ca="1">IF(N20 = N21, IF(RANDBETWEEN(0, 1), "White", "Black"), IF(N20 &gt; N21, "Black", "White"))</f>
        <v>#N/A</v>
      </c>
      <c r="E20" s="2" t="e">
        <f>SUM(INDEX('Rd3'!$E$3:$E$27, MATCH(K20, 'Rd3'!$K$3:$K$27, 0),1), IF(LEN(D20)=0, 0, IF(D20="W", 1, 0)))</f>
        <v>#N/A</v>
      </c>
      <c r="F20" s="2" t="e">
        <f>SUM(INDEX('Rd3'!$F$3:$F$27, MATCH(K20, 'Rd3'!$K$3:$K$27, 0),1), IF(LEN(D20)=0, 0, IF(D20="L", 1, 0)))</f>
        <v>#N/A</v>
      </c>
      <c r="G20" s="2" t="e">
        <f t="shared" ref="G20:G21" si="3">E20&amp;" - "&amp;F20</f>
        <v>#N/A</v>
      </c>
      <c r="H20" s="2" t="e">
        <f ca="1">SUM(INDEX('Rd3'!$H$3:$H$27, MATCH(K20, 'Rd3'!$K$3:$K$27, 0),1), IF(C20="White",1,0))</f>
        <v>#N/A</v>
      </c>
      <c r="I20" s="2" t="e">
        <f ca="1">SUM(INDEX('Rd3'!$I$3:$I$27, MATCH(K20, 'Rd3'!$K$3:$K$27, 0),1), IF(C20="Black",1,0))</f>
        <v>#N/A</v>
      </c>
      <c r="K20" s="2" t="str">
        <f>'Rd3'!L$23</f>
        <v/>
      </c>
      <c r="L20" t="str">
        <f>IF(LEN(D20)=0,"",IF(D20="W", K20,K21))</f>
        <v/>
      </c>
      <c r="M20" t="str">
        <f>IF(LEN(D20)=0,"",IF(D20="W", K21,K20))</f>
        <v/>
      </c>
      <c r="N20" t="e">
        <f ca="1">INDEX('Rd3'!$H$3:$H$27, MATCH(K20, 'Rd3'!$K$3:$K$27, 0),1)</f>
        <v>#N/A</v>
      </c>
    </row>
    <row r="21" spans="1:14" x14ac:dyDescent="0.2">
      <c r="A21" s="3" t="e">
        <f ca="1">INDIRECT("Participants!B"&amp;SUM(K21+1))</f>
        <v>#VALUE!</v>
      </c>
      <c r="B21" s="2">
        <v>4</v>
      </c>
      <c r="C21" s="2" t="e">
        <f ca="1">IF(C20="White", "Black", "White")</f>
        <v>#N/A</v>
      </c>
      <c r="D21" s="2" t="str">
        <f>IF(ISBLANK(D20),"",IF(D20="W","L","W"))</f>
        <v/>
      </c>
      <c r="E21" s="2" t="e">
        <f>SUM(INDEX('Rd3'!$E$3:$E$27, MATCH(K21, 'Rd3'!$K$3:$K$27, 0),1), IF(LEN(D21)=0, 0, IF(D21="W", 1, 0)))</f>
        <v>#N/A</v>
      </c>
      <c r="F21" s="2" t="e">
        <f>SUM(INDEX('Rd3'!$F$3:$F$27, MATCH(K21, 'Rd3'!$K$3:$K$27, 0),1), IF(LEN(D21)=0, 0, IF(D21="L", 1, 0)))</f>
        <v>#N/A</v>
      </c>
      <c r="G21" s="2" t="e">
        <f t="shared" si="3"/>
        <v>#N/A</v>
      </c>
      <c r="H21" s="2" t="e">
        <f ca="1">SUM(INDEX('Rd3'!$H$3:$H$27, MATCH(K21, 'Rd3'!$K$3:$K$27, 0),1), IF(C21="White",1,0))</f>
        <v>#N/A</v>
      </c>
      <c r="I21" s="2" t="e">
        <f ca="1">SUM(INDEX('Rd3'!$I$3:$I$27, MATCH(K21, 'Rd3'!$K$3:$K$27, 0),1), IF(C21="Black",1,0))</f>
        <v>#N/A</v>
      </c>
      <c r="K21" s="2" t="str">
        <f>'Rd3'!L$26</f>
        <v/>
      </c>
      <c r="L21" t="str">
        <f>IF(LEN(D21)=0,"",IF(D21="W", K21,K20))</f>
        <v/>
      </c>
      <c r="M21" t="str">
        <f>IF(LEN(D21)=0,"",IF(D21="W", K20,K21))</f>
        <v/>
      </c>
      <c r="N21" t="e">
        <f ca="1">INDEX('Rd3'!$H$3:$H$27, MATCH(K21, 'Rd3'!$K$3:$K$27, 0),1)</f>
        <v>#N/A</v>
      </c>
    </row>
    <row r="22" spans="1:14" x14ac:dyDescent="0.2">
      <c r="K22" s="2"/>
    </row>
    <row r="23" spans="1:14" x14ac:dyDescent="0.2">
      <c r="A23"/>
      <c r="I23" s="2"/>
      <c r="K23" s="2"/>
    </row>
    <row r="24" spans="1:14" x14ac:dyDescent="0.2">
      <c r="A24"/>
      <c r="I24" s="2"/>
      <c r="K24" s="2"/>
    </row>
    <row r="25" spans="1:14" x14ac:dyDescent="0.2">
      <c r="A25"/>
      <c r="K25" s="2"/>
    </row>
    <row r="26" spans="1:14" x14ac:dyDescent="0.2">
      <c r="A26"/>
      <c r="I26" s="2"/>
      <c r="K26" s="2"/>
    </row>
    <row r="27" spans="1:14" x14ac:dyDescent="0.2">
      <c r="A27"/>
      <c r="I27" s="2"/>
      <c r="K27" s="2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EA66A1-900F-2C45-90AD-155C99D28B57}">
          <x14:formula1>
            <xm:f>Utils!$A$2:$A$3</xm:f>
          </x14:formula1>
          <xm:sqref>D23 D26 D9 D12 D17 D20 D3 D6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9C127-8179-3A46-803E-620724661445}">
  <sheetPr codeName="Sheet8"/>
  <dimension ref="A1:N27"/>
  <sheetViews>
    <sheetView zoomScale="140" zoomScaleNormal="140" workbookViewId="0">
      <selection activeCell="D20" sqref="D20"/>
    </sheetView>
  </sheetViews>
  <sheetFormatPr baseColWidth="10" defaultRowHeight="16" x14ac:dyDescent="0.2"/>
  <cols>
    <col min="1" max="1" width="23.5" style="2" customWidth="1"/>
    <col min="2" max="2" width="17.83203125" style="2" customWidth="1"/>
    <col min="3" max="5" width="17.6640625" style="2" bestFit="1" customWidth="1"/>
    <col min="6" max="6" width="15.1640625" style="2" customWidth="1"/>
    <col min="7" max="7" width="16.33203125" style="2" customWidth="1"/>
    <col min="8" max="8" width="10.5" style="2" customWidth="1"/>
    <col min="9" max="9" width="10.1640625" customWidth="1"/>
    <col min="10" max="10" width="10.83203125" style="6"/>
    <col min="14" max="14" width="15.5" bestFit="1" customWidth="1"/>
  </cols>
  <sheetData>
    <row r="1" spans="1:14" x14ac:dyDescent="0.2">
      <c r="A1" s="1" t="s">
        <v>0</v>
      </c>
    </row>
    <row r="2" spans="1:14" x14ac:dyDescent="0.2">
      <c r="A2" s="1" t="s">
        <v>2</v>
      </c>
      <c r="B2" s="1" t="s">
        <v>5</v>
      </c>
      <c r="C2" s="1" t="s">
        <v>3</v>
      </c>
      <c r="D2" s="4" t="s">
        <v>24</v>
      </c>
      <c r="E2" s="1" t="s">
        <v>22</v>
      </c>
      <c r="F2" s="1" t="s">
        <v>23</v>
      </c>
      <c r="G2" s="1" t="s">
        <v>4</v>
      </c>
      <c r="H2" s="1" t="s">
        <v>28</v>
      </c>
      <c r="I2" s="1" t="s">
        <v>27</v>
      </c>
      <c r="K2" s="1" t="s">
        <v>1</v>
      </c>
      <c r="L2" s="1" t="s">
        <v>30</v>
      </c>
      <c r="M2" s="1" t="s">
        <v>31</v>
      </c>
      <c r="N2" s="1" t="s">
        <v>32</v>
      </c>
    </row>
    <row r="3" spans="1:14" x14ac:dyDescent="0.2">
      <c r="A3"/>
      <c r="I3" s="2"/>
      <c r="K3" s="2"/>
    </row>
    <row r="4" spans="1:14" x14ac:dyDescent="0.2">
      <c r="A4"/>
      <c r="I4" s="2"/>
      <c r="K4" s="2"/>
    </row>
    <row r="5" spans="1:14" x14ac:dyDescent="0.2">
      <c r="A5"/>
      <c r="K5" s="2"/>
    </row>
    <row r="6" spans="1:14" x14ac:dyDescent="0.2">
      <c r="A6"/>
      <c r="I6" s="2"/>
      <c r="K6" s="2"/>
    </row>
    <row r="7" spans="1:14" x14ac:dyDescent="0.2">
      <c r="A7"/>
      <c r="I7" s="2"/>
      <c r="K7" s="2"/>
    </row>
    <row r="8" spans="1:14" x14ac:dyDescent="0.2">
      <c r="A8"/>
      <c r="K8" s="2"/>
    </row>
    <row r="9" spans="1:14" x14ac:dyDescent="0.2">
      <c r="A9"/>
      <c r="I9" s="2"/>
      <c r="K9" s="2"/>
    </row>
    <row r="10" spans="1:14" x14ac:dyDescent="0.2">
      <c r="A10"/>
      <c r="I10" s="2"/>
      <c r="K10" s="2"/>
    </row>
    <row r="11" spans="1:14" x14ac:dyDescent="0.2">
      <c r="A11"/>
      <c r="K11" s="2"/>
    </row>
    <row r="12" spans="1:14" x14ac:dyDescent="0.2">
      <c r="A12"/>
      <c r="I12" s="2"/>
      <c r="K12" s="2"/>
    </row>
    <row r="13" spans="1:14" x14ac:dyDescent="0.2">
      <c r="A13"/>
      <c r="I13" s="2"/>
      <c r="K13" s="2"/>
    </row>
    <row r="14" spans="1:14" x14ac:dyDescent="0.2">
      <c r="K14" s="2"/>
    </row>
    <row r="15" spans="1:14" x14ac:dyDescent="0.2">
      <c r="K15" s="2"/>
    </row>
    <row r="16" spans="1:14" x14ac:dyDescent="0.2">
      <c r="A16" s="1" t="s">
        <v>29</v>
      </c>
      <c r="K16" s="2"/>
    </row>
    <row r="17" spans="1:14" x14ac:dyDescent="0.2">
      <c r="A17" s="3" t="e">
        <f ca="1">INDIRECT("Participants!B"&amp;SUM(K17+1))</f>
        <v>#VALUE!</v>
      </c>
      <c r="B17" s="2">
        <v>1</v>
      </c>
      <c r="C17" s="2" t="e">
        <f ca="1">IF(N17 = N18, IF(RANDBETWEEN(0, 1), "White", "Black"), IF(N17 &gt; N18, "Black", "White"))</f>
        <v>#N/A</v>
      </c>
      <c r="E17" s="2" t="e">
        <f>SUM(INDEX('Rd4'!$E$3:$E$27, MATCH(K17, 'Rd4'!$K$3:$K$27, 0),1), IF(LEN(D17)=0, 0, IF(D17="W", 1, 0)))</f>
        <v>#N/A</v>
      </c>
      <c r="F17" s="2" t="e">
        <f>SUM(INDEX('Rd4'!$F$3:$F$27, MATCH(K17, 'Rd4'!$K$3:$K$27, 0),1), IF(LEN(D17)=0, 0, IF(D17="L", 1, 0)))</f>
        <v>#N/A</v>
      </c>
      <c r="G17" s="2" t="e">
        <f t="shared" ref="G17:G18" si="0">E17&amp;" - "&amp;F17</f>
        <v>#N/A</v>
      </c>
      <c r="H17" s="2" t="e">
        <f ca="1">SUM(INDEX('Rd4'!$H$3:$H$27, MATCH(K17, 'Rd4'!$K$3:$K$27, 0),1), IF(C17="White",1,0))</f>
        <v>#N/A</v>
      </c>
      <c r="I17" s="2" t="e">
        <f ca="1">SUM(INDEX('Rd4'!$I$3:$I$27, MATCH(K17, 'Rd4'!$K$3:$K$27, 0),1), IF(C17="Black",1,0))</f>
        <v>#N/A</v>
      </c>
      <c r="K17" s="2" t="str">
        <f>'Rd4'!M$3</f>
        <v/>
      </c>
      <c r="L17" t="str">
        <f>IF(LEN(D17)=0,"",IF(D17="W", K17,K18))</f>
        <v/>
      </c>
      <c r="M17" t="str">
        <f>IF(LEN(D17)=0,"",IF(D17="W", K18,K17))</f>
        <v/>
      </c>
      <c r="N17" t="e">
        <f ca="1">INDEX('Rd4'!$H$3:$H$27, MATCH(K17, 'Rd4'!$K$3:$K$27, 0),1)</f>
        <v>#N/A</v>
      </c>
    </row>
    <row r="18" spans="1:14" x14ac:dyDescent="0.2">
      <c r="A18" s="3" t="e">
        <f ca="1">INDIRECT("Participants!B"&amp;SUM(K18+1))</f>
        <v>#VALUE!</v>
      </c>
      <c r="B18" s="2">
        <v>1</v>
      </c>
      <c r="C18" s="2" t="e">
        <f ca="1">IF(C17="White", "Black", "White")</f>
        <v>#N/A</v>
      </c>
      <c r="D18" s="2" t="str">
        <f>IF(ISBLANK(D17),"",IF(D17="W","L","W"))</f>
        <v/>
      </c>
      <c r="E18" s="2" t="e">
        <f>SUM(INDEX('Rd4'!$E$3:$E$27, MATCH(K18, 'Rd4'!$K$3:$K$27, 0),1), IF(LEN(D18)=0, 0, IF(D18="W", 1, 0)))</f>
        <v>#N/A</v>
      </c>
      <c r="F18" s="2" t="e">
        <f>SUM(INDEX('Rd4'!$F$3:$F$27, MATCH(K18, 'Rd4'!$K$3:$K$27, 0),1), IF(LEN(D18)=0, 0, IF(D18="L", 1, 0)))</f>
        <v>#N/A</v>
      </c>
      <c r="G18" s="2" t="e">
        <f t="shared" si="0"/>
        <v>#N/A</v>
      </c>
      <c r="H18" s="2" t="e">
        <f ca="1">SUM(INDEX('Rd4'!$H$3:$H$27, MATCH(K18, 'Rd4'!$K$3:$K$27, 0),1), IF(C18="White",1,0))</f>
        <v>#N/A</v>
      </c>
      <c r="I18" s="2" t="e">
        <f ca="1">SUM(INDEX('Rd4'!$I$3:$I$27, MATCH(K18, 'Rd4'!$K$3:$K$27, 0),1), IF(C18="Black",1,0))</f>
        <v>#N/A</v>
      </c>
      <c r="K18" s="2" t="str">
        <f>'Rd4'!L$17</f>
        <v/>
      </c>
      <c r="L18" t="str">
        <f>IF(LEN(D18)=0,"",IF(D18="W", K18,K17))</f>
        <v/>
      </c>
      <c r="M18" t="str">
        <f>IF(LEN(D18)=0,"",IF(D18="W", K17,K18))</f>
        <v/>
      </c>
      <c r="N18" t="e">
        <f ca="1">INDEX('Rd4'!$H$3:$H$27, MATCH(K18, 'Rd4'!$K$3:$K$27, 0),1)</f>
        <v>#N/A</v>
      </c>
    </row>
    <row r="19" spans="1:14" x14ac:dyDescent="0.2">
      <c r="K19" s="2"/>
    </row>
    <row r="20" spans="1:14" x14ac:dyDescent="0.2">
      <c r="A20" s="3" t="e">
        <f ca="1">INDIRECT("Participants!B"&amp;SUM(K20+1))</f>
        <v>#VALUE!</v>
      </c>
      <c r="B20" s="2">
        <v>2</v>
      </c>
      <c r="C20" s="2" t="e">
        <f ca="1">IF(N20 = N21, IF(RANDBETWEEN(0, 1), "White", "Black"), IF(N20 &gt; N21, "Black", "White"))</f>
        <v>#N/A</v>
      </c>
      <c r="E20" s="2" t="e">
        <f>SUM(INDEX('Rd4'!$E$3:$E$27, MATCH(K20, 'Rd4'!$K$3:$K$27, 0),1), IF(LEN(D20)=0, 0, IF(D20="W", 1, 0)))</f>
        <v>#N/A</v>
      </c>
      <c r="F20" s="2" t="e">
        <f>SUM(INDEX('Rd4'!$F$3:$F$27, MATCH(K20, 'Rd4'!$K$3:$K$27, 0),1), IF(LEN(D20)=0, 0, IF(D20="L", 1, 0)))</f>
        <v>#N/A</v>
      </c>
      <c r="G20" s="2" t="e">
        <f t="shared" ref="G20:G21" si="1">E20&amp;" - "&amp;F20</f>
        <v>#N/A</v>
      </c>
      <c r="H20" s="2" t="e">
        <f ca="1">SUM(INDEX('Rd4'!$H$3:$H$27, MATCH(K20, 'Rd4'!$K$3:$K$27, 0),1), IF(C20="White",1,0))</f>
        <v>#N/A</v>
      </c>
      <c r="I20" s="2" t="e">
        <f ca="1">SUM(INDEX('Rd4'!$I$3:$I$27, MATCH(K20, 'Rd4'!$K$3:$K$27, 0),1), IF(C20="Black",1,0))</f>
        <v>#N/A</v>
      </c>
      <c r="K20" s="2" t="str">
        <f>'Rd4'!M$6</f>
        <v/>
      </c>
      <c r="L20" t="str">
        <f>IF(LEN(D20)=0,"",IF(D20="W", K20,K21))</f>
        <v/>
      </c>
      <c r="M20" t="str">
        <f>IF(LEN(D20)=0,"",IF(D20="W", K21,K20))</f>
        <v/>
      </c>
      <c r="N20" t="e">
        <f ca="1">INDEX('Rd4'!$H$3:$H$27, MATCH(K20, 'Rd4'!$K$3:$K$27, 0),1)</f>
        <v>#N/A</v>
      </c>
    </row>
    <row r="21" spans="1:14" x14ac:dyDescent="0.2">
      <c r="A21" s="3" t="e">
        <f ca="1">INDIRECT("Participants!B"&amp;SUM(K21+1))</f>
        <v>#VALUE!</v>
      </c>
      <c r="B21" s="2">
        <v>2</v>
      </c>
      <c r="C21" s="2" t="e">
        <f ca="1">IF(C20="White", "Black", "White")</f>
        <v>#N/A</v>
      </c>
      <c r="D21" s="2" t="str">
        <f>IF(ISBLANK(D20),"",IF(D20="W","L","W"))</f>
        <v/>
      </c>
      <c r="E21" s="2" t="e">
        <f>SUM(INDEX('Rd4'!$E$3:$E$27, MATCH(K21, 'Rd4'!$K$3:$K$27, 0),1), IF(LEN(D21)=0, 0, IF(D21="W", 1, 0)))</f>
        <v>#N/A</v>
      </c>
      <c r="F21" s="2" t="e">
        <f>SUM(INDEX('Rd4'!$F$3:$F$27, MATCH(K21, 'Rd4'!$K$3:$K$27, 0),1), IF(LEN(D21)=0, 0, IF(D21="L", 1, 0)))</f>
        <v>#N/A</v>
      </c>
      <c r="G21" s="2" t="e">
        <f t="shared" si="1"/>
        <v>#N/A</v>
      </c>
      <c r="H21" s="2" t="e">
        <f ca="1">SUM(INDEX('Rd4'!$H$3:$H$27, MATCH(K21, 'Rd4'!$K$3:$K$27, 0),1), IF(C21="White",1,0))</f>
        <v>#N/A</v>
      </c>
      <c r="I21" s="2" t="e">
        <f ca="1">SUM(INDEX('Rd4'!$I$3:$I$27, MATCH(K21, 'Rd4'!$K$3:$K$27, 0),1), IF(C21="Black",1,0))</f>
        <v>#N/A</v>
      </c>
      <c r="K21" s="2" t="str">
        <f>'Rd4'!L$20</f>
        <v/>
      </c>
      <c r="L21" t="str">
        <f>IF(LEN(D21)=0,"",IF(D21="W", K21,K20))</f>
        <v/>
      </c>
      <c r="M21" t="str">
        <f>IF(LEN(D21)=0,"",IF(D21="W", K20,K21))</f>
        <v/>
      </c>
      <c r="N21" t="e">
        <f ca="1">INDEX('Rd4'!$H$3:$H$27, MATCH(K21, 'Rd4'!$K$3:$K$27, 0),1)</f>
        <v>#N/A</v>
      </c>
    </row>
    <row r="22" spans="1:14" x14ac:dyDescent="0.2">
      <c r="K22" s="2"/>
    </row>
    <row r="23" spans="1:14" x14ac:dyDescent="0.2">
      <c r="A23"/>
      <c r="I23" s="2"/>
      <c r="K23" s="2"/>
    </row>
    <row r="24" spans="1:14" x14ac:dyDescent="0.2">
      <c r="A24"/>
      <c r="I24" s="2"/>
      <c r="K24" s="2"/>
    </row>
    <row r="25" spans="1:14" x14ac:dyDescent="0.2">
      <c r="A25"/>
      <c r="K25" s="2"/>
    </row>
    <row r="26" spans="1:14" x14ac:dyDescent="0.2">
      <c r="A26"/>
      <c r="I26" s="2"/>
      <c r="K26" s="2"/>
    </row>
    <row r="27" spans="1:14" x14ac:dyDescent="0.2">
      <c r="A27"/>
      <c r="I27" s="2"/>
      <c r="K27" s="2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7EFD02-0BBE-F747-8F64-A35608BAC1B2}">
          <x14:formula1>
            <xm:f>Utils!$A$2:$A$3</xm:f>
          </x14:formula1>
          <xm:sqref>D23 D26 D9 D12 D17 D20 D3 D6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14286-B46F-5543-AD6D-A96CEFA616BF}">
  <sheetPr codeName="Sheet9"/>
  <dimension ref="A1:N27"/>
  <sheetViews>
    <sheetView zoomScale="140" zoomScaleNormal="140" workbookViewId="0">
      <selection activeCell="D17" sqref="D17"/>
    </sheetView>
  </sheetViews>
  <sheetFormatPr baseColWidth="10" defaultRowHeight="16" x14ac:dyDescent="0.2"/>
  <cols>
    <col min="1" max="1" width="23.5" style="2" customWidth="1"/>
    <col min="2" max="2" width="17.83203125" style="2" customWidth="1"/>
    <col min="3" max="5" width="17.6640625" style="2" bestFit="1" customWidth="1"/>
    <col min="6" max="6" width="15.1640625" style="2" customWidth="1"/>
    <col min="7" max="7" width="16.33203125" style="2" customWidth="1"/>
    <col min="8" max="8" width="10.5" style="2" customWidth="1"/>
    <col min="9" max="9" width="10.1640625" customWidth="1"/>
    <col min="10" max="10" width="10.83203125" style="6"/>
    <col min="14" max="14" width="15.5" bestFit="1" customWidth="1"/>
  </cols>
  <sheetData>
    <row r="1" spans="1:14" x14ac:dyDescent="0.2">
      <c r="A1" s="1" t="s">
        <v>0</v>
      </c>
    </row>
    <row r="2" spans="1:14" x14ac:dyDescent="0.2">
      <c r="A2" s="1" t="s">
        <v>2</v>
      </c>
      <c r="B2" s="1" t="s">
        <v>5</v>
      </c>
      <c r="C2" s="1" t="s">
        <v>3</v>
      </c>
      <c r="D2" s="4" t="s">
        <v>24</v>
      </c>
      <c r="E2" s="1" t="s">
        <v>22</v>
      </c>
      <c r="F2" s="1" t="s">
        <v>23</v>
      </c>
      <c r="G2" s="1" t="s">
        <v>4</v>
      </c>
      <c r="H2" s="1" t="s">
        <v>28</v>
      </c>
      <c r="I2" s="1" t="s">
        <v>27</v>
      </c>
      <c r="K2" s="1" t="s">
        <v>1</v>
      </c>
      <c r="L2" s="1" t="s">
        <v>30</v>
      </c>
      <c r="M2" s="1" t="s">
        <v>31</v>
      </c>
      <c r="N2" s="1" t="s">
        <v>32</v>
      </c>
    </row>
    <row r="3" spans="1:14" x14ac:dyDescent="0.2">
      <c r="A3" s="3" t="e">
        <f ca="1">INDIRECT("Participants!B"&amp;SUM(K3+1))</f>
        <v>#VALUE!</v>
      </c>
      <c r="B3" s="2">
        <v>1</v>
      </c>
      <c r="C3" s="2" t="e">
        <f ca="1">IF(N3 = N4, IF(RANDBETWEEN(0, 1), "White", "Black"), IF(N3 &gt; N4, "Black", "White"))</f>
        <v>#N/A</v>
      </c>
      <c r="E3" s="2" t="e">
        <f>SUM(INDEX('Rd4'!$E$3:$E$27, MATCH(K3, 'Rd4'!$K$3:$K$27, 0),1), IF(LEN(D3)=0, 0, IF(D3="W", 1, 0)))</f>
        <v>#N/A</v>
      </c>
      <c r="F3" s="2" t="e">
        <f>SUM(INDEX('Rd4'!$F$3:$F$27, MATCH(K3, 'Rd4'!$K$3:$K$27, 0),1), IF(LEN(D3)=0, 0, IF(D3="L", 1, 0)))</f>
        <v>#N/A</v>
      </c>
      <c r="G3" s="2" t="e">
        <f t="shared" ref="G3:G4" si="0">E3&amp;" - "&amp;F3</f>
        <v>#N/A</v>
      </c>
      <c r="H3" s="2" t="e">
        <f ca="1">SUM(INDEX('Rd4'!$H$3:$H$27, MATCH(K3, 'Rd4'!$K$3:$K$27, 0),1), IF(C3="White",1,0))</f>
        <v>#N/A</v>
      </c>
      <c r="I3" s="2" t="e">
        <f ca="1">SUM(INDEX('Rd4'!$I$3:$I$27, MATCH(K3, 'Rd4'!$K$3:$K$27, 0),1), IF(C3="Black",1,0))</f>
        <v>#N/A</v>
      </c>
      <c r="K3" s="2" t="str">
        <f>'Rd4'!L$3</f>
        <v/>
      </c>
      <c r="L3" t="str">
        <f>IF(LEN(D3)=0,"",IF(D3="W", K3,K4))</f>
        <v/>
      </c>
      <c r="M3" t="str">
        <f>IF(LEN(D3)=0,"",IF(D3="W", K4,K3))</f>
        <v/>
      </c>
      <c r="N3" t="e">
        <f ca="1">INDEX('Rd4'!$H$3:$H$27, MATCH(K3, 'Rd4'!$K$3:$K$27, 0),1)</f>
        <v>#N/A</v>
      </c>
    </row>
    <row r="4" spans="1:14" x14ac:dyDescent="0.2">
      <c r="A4" s="3" t="e">
        <f ca="1">INDIRECT("Participants!B"&amp;SUM(K4+1))</f>
        <v>#VALUE!</v>
      </c>
      <c r="B4" s="2">
        <v>1</v>
      </c>
      <c r="C4" s="2" t="e">
        <f ca="1">IF(C3="White", "Black", "White")</f>
        <v>#N/A</v>
      </c>
      <c r="D4" s="2" t="str">
        <f>IF(ISBLANK(D3),"",IF(D3="W","L","W"))</f>
        <v/>
      </c>
      <c r="E4" s="2" t="e">
        <f>SUM(INDEX('Rd4'!$E$3:$E$27, MATCH(K4, 'Rd4'!$K$3:$K$27, 0),1), IF(LEN(D4)=0, 0, IF(D4="W", 1, 0)))</f>
        <v>#N/A</v>
      </c>
      <c r="F4" s="2" t="e">
        <f>SUM(INDEX('Rd4'!$F$3:$F$27, MATCH(K4, 'Rd4'!$K$3:$K$27, 0),1), IF(LEN(D4)=0, 0, IF(D4="L", 1, 0)))</f>
        <v>#N/A</v>
      </c>
      <c r="G4" s="2" t="e">
        <f t="shared" si="0"/>
        <v>#N/A</v>
      </c>
      <c r="H4" s="2" t="e">
        <f ca="1">SUM(INDEX('Rd4'!$H$3:$H$27, MATCH(K4, 'Rd4'!$K$3:$K$27, 0),1), IF(C4="White",1,0))</f>
        <v>#N/A</v>
      </c>
      <c r="I4" s="2" t="e">
        <f ca="1">SUM(INDEX('Rd4'!$I$3:$I$27, MATCH(K4, 'Rd4'!$K$3:$K$27, 0),1), IF(C4="Black",1,0))</f>
        <v>#N/A</v>
      </c>
      <c r="K4" s="2" t="str">
        <f>'Rd4'!L$6</f>
        <v/>
      </c>
      <c r="L4" t="str">
        <f>IF(LEN(D4)=0,"",IF(D4="W", K4,K3))</f>
        <v/>
      </c>
      <c r="M4" t="str">
        <f>IF(LEN(D4)=0,"",IF(D4="W", K3,K4))</f>
        <v/>
      </c>
      <c r="N4" t="e">
        <f ca="1">INDEX('Rd4'!$H$3:$H$27, MATCH(K4, 'Rd4'!$K$3:$K$27, 0),1)</f>
        <v>#N/A</v>
      </c>
    </row>
    <row r="5" spans="1:14" x14ac:dyDescent="0.2">
      <c r="A5"/>
      <c r="K5" s="2"/>
    </row>
    <row r="6" spans="1:14" x14ac:dyDescent="0.2">
      <c r="A6"/>
      <c r="I6" s="2"/>
      <c r="K6" s="2"/>
    </row>
    <row r="7" spans="1:14" x14ac:dyDescent="0.2">
      <c r="A7"/>
      <c r="I7" s="2"/>
      <c r="K7" s="2"/>
    </row>
    <row r="8" spans="1:14" x14ac:dyDescent="0.2">
      <c r="A8"/>
      <c r="K8" s="2"/>
    </row>
    <row r="9" spans="1:14" x14ac:dyDescent="0.2">
      <c r="A9"/>
      <c r="I9" s="2"/>
      <c r="K9" s="2"/>
    </row>
    <row r="10" spans="1:14" x14ac:dyDescent="0.2">
      <c r="A10"/>
      <c r="I10" s="2"/>
      <c r="K10" s="2"/>
    </row>
    <row r="11" spans="1:14" x14ac:dyDescent="0.2">
      <c r="A11"/>
      <c r="K11" s="2"/>
    </row>
    <row r="12" spans="1:14" x14ac:dyDescent="0.2">
      <c r="A12"/>
      <c r="I12" s="2"/>
      <c r="K12" s="2"/>
    </row>
    <row r="13" spans="1:14" x14ac:dyDescent="0.2">
      <c r="A13"/>
      <c r="I13" s="2"/>
      <c r="K13" s="2"/>
    </row>
    <row r="14" spans="1:14" x14ac:dyDescent="0.2">
      <c r="K14" s="2"/>
    </row>
    <row r="15" spans="1:14" x14ac:dyDescent="0.2">
      <c r="K15" s="2"/>
    </row>
    <row r="16" spans="1:14" x14ac:dyDescent="0.2">
      <c r="A16" s="1" t="s">
        <v>29</v>
      </c>
      <c r="K16" s="2"/>
    </row>
    <row r="17" spans="1:14" x14ac:dyDescent="0.2">
      <c r="A17" s="3" t="e">
        <f ca="1">INDIRECT("Participants!B"&amp;SUM(K17+1))</f>
        <v>#VALUE!</v>
      </c>
      <c r="B17" s="2">
        <v>2</v>
      </c>
      <c r="C17" s="2" t="e">
        <f ca="1">IF(N17 = N18, IF(RANDBETWEEN(0, 1), "White", "Black"), IF(N17 &gt; N18, "Black", "White"))</f>
        <v>#N/A</v>
      </c>
      <c r="E17" s="2" t="e">
        <f>SUM(INDEX('Rd5'!$E$3:$E$27, MATCH(K17, 'Rd5'!$K$3:$K$27, 0),1), IF(LEN(D17)=0, 0, IF(D17="W", 1, 0)))</f>
        <v>#N/A</v>
      </c>
      <c r="F17" s="2" t="e">
        <f>SUM(INDEX('Rd5'!$F$3:$F$27, MATCH(K17, 'Rd5'!$K$3:$K$27, 0),1), IF(LEN(D17)=0, 0, IF(D17="L", 1, 0)))</f>
        <v>#N/A</v>
      </c>
      <c r="G17" s="2" t="e">
        <f t="shared" ref="G17:G18" si="1">E17&amp;" - "&amp;F17</f>
        <v>#N/A</v>
      </c>
      <c r="H17" s="2" t="e">
        <f ca="1">SUM(INDEX('Rd5'!$H$3:$H$27, MATCH(K17, 'Rd5'!$K$3:$K$27, 0),1), IF(C17="White",1,0))</f>
        <v>#N/A</v>
      </c>
      <c r="I17" s="2" t="e">
        <f ca="1">SUM(INDEX('Rd5'!$I$3:$I$27, MATCH(K17, 'Rd5'!$K$3:$K$27, 0),1), IF(C17="Black",1,0))</f>
        <v>#N/A</v>
      </c>
      <c r="K17" s="2" t="str">
        <f>'Rd5'!L$17</f>
        <v/>
      </c>
      <c r="L17" t="str">
        <f>IF(LEN(D17)=0,"",IF(D17="W", K17,K18))</f>
        <v/>
      </c>
      <c r="M17" t="str">
        <f>IF(LEN(D17)=0,"",IF(D17="W", K18,K17))</f>
        <v/>
      </c>
      <c r="N17" t="e">
        <f ca="1">INDEX('Rd5'!$H$3:$H$27, MATCH(K17, 'Rd5'!$K$3:$K$27, 0),1)</f>
        <v>#N/A</v>
      </c>
    </row>
    <row r="18" spans="1:14" x14ac:dyDescent="0.2">
      <c r="A18" s="3" t="e">
        <f ca="1">INDIRECT("Participants!B"&amp;SUM(K18+1))</f>
        <v>#VALUE!</v>
      </c>
      <c r="B18" s="2">
        <v>2</v>
      </c>
      <c r="C18" s="2" t="e">
        <f ca="1">IF(C17="White", "Black", "White")</f>
        <v>#N/A</v>
      </c>
      <c r="D18" s="2" t="str">
        <f>IF(ISBLANK(D17),"",IF(D17="W","L","W"))</f>
        <v/>
      </c>
      <c r="E18" s="2" t="e">
        <f>SUM(INDEX('Rd5'!$E$3:$E$27, MATCH(K18, 'Rd5'!$K$3:$K$27, 0),1), IF(LEN(D18)=0, 0, IF(D18="W", 1, 0)))</f>
        <v>#N/A</v>
      </c>
      <c r="F18" s="2" t="e">
        <f>SUM(INDEX('Rd5'!$F$3:$F$27, MATCH(K18, 'Rd5'!$K$3:$K$27, 0),1), IF(LEN(D18)=0, 0, IF(D18="L", 1, 0)))</f>
        <v>#N/A</v>
      </c>
      <c r="G18" s="2" t="e">
        <f t="shared" si="1"/>
        <v>#N/A</v>
      </c>
      <c r="H18" s="2" t="e">
        <f ca="1">SUM(INDEX('Rd5'!$H$3:$H$27, MATCH(K18, 'Rd5'!$K$3:$K$27, 0),1), IF(C18="White",1,0))</f>
        <v>#N/A</v>
      </c>
      <c r="I18" s="2" t="e">
        <f ca="1">SUM(INDEX('Rd5'!$I$3:$I$27, MATCH(K18, 'Rd5'!$K$3:$K$27, 0),1), IF(C18="Black",1,0))</f>
        <v>#N/A</v>
      </c>
      <c r="K18" s="2" t="str">
        <f>'Rd5'!L$20</f>
        <v/>
      </c>
      <c r="L18" t="str">
        <f>IF(LEN(D18)=0,"",IF(D18="W", K18,K17))</f>
        <v/>
      </c>
      <c r="M18" t="str">
        <f>IF(LEN(D18)=0,"",IF(D18="W", K17,K18))</f>
        <v/>
      </c>
      <c r="N18" t="e">
        <f ca="1">INDEX('Rd5'!$H$3:$H$27, MATCH(K18, 'Rd5'!$K$3:$K$27, 0),1)</f>
        <v>#N/A</v>
      </c>
    </row>
    <row r="19" spans="1:14" x14ac:dyDescent="0.2">
      <c r="K19" s="2"/>
    </row>
    <row r="20" spans="1:14" x14ac:dyDescent="0.2">
      <c r="A20"/>
      <c r="I20" s="2"/>
      <c r="K20" s="2"/>
    </row>
    <row r="21" spans="1:14" x14ac:dyDescent="0.2">
      <c r="A21"/>
      <c r="I21" s="2"/>
      <c r="K21" s="2"/>
    </row>
    <row r="22" spans="1:14" x14ac:dyDescent="0.2">
      <c r="K22" s="2"/>
    </row>
    <row r="23" spans="1:14" x14ac:dyDescent="0.2">
      <c r="A23"/>
      <c r="I23" s="2"/>
      <c r="K23" s="2"/>
    </row>
    <row r="24" spans="1:14" x14ac:dyDescent="0.2">
      <c r="A24"/>
      <c r="I24" s="2"/>
      <c r="K24" s="2"/>
    </row>
    <row r="25" spans="1:14" x14ac:dyDescent="0.2">
      <c r="A25"/>
      <c r="K25" s="2"/>
    </row>
    <row r="26" spans="1:14" x14ac:dyDescent="0.2">
      <c r="A26"/>
      <c r="I26" s="2"/>
      <c r="K26" s="2"/>
    </row>
    <row r="27" spans="1:14" x14ac:dyDescent="0.2">
      <c r="A27"/>
      <c r="I27" s="2"/>
      <c r="K27" s="2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1AB27F-16BB-5E47-8E3C-F270D14D068A}">
          <x14:formula1>
            <xm:f>Utils!$A$2:$A$3</xm:f>
          </x14:formula1>
          <xm:sqref>D23 D26 D9 D12 D17 D20 D6 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B87B1-D7E3-284F-A887-5000B9752949}">
  <sheetPr codeName="Sheet10"/>
  <dimension ref="A1:N27"/>
  <sheetViews>
    <sheetView zoomScale="140" zoomScaleNormal="140" workbookViewId="0">
      <selection activeCell="D17" sqref="D17"/>
    </sheetView>
  </sheetViews>
  <sheetFormatPr baseColWidth="10" defaultRowHeight="16" x14ac:dyDescent="0.2"/>
  <cols>
    <col min="1" max="1" width="23.5" style="2" customWidth="1"/>
    <col min="2" max="2" width="17.83203125" style="2" customWidth="1"/>
    <col min="3" max="5" width="17.6640625" style="2" bestFit="1" customWidth="1"/>
    <col min="6" max="6" width="15.1640625" style="2" customWidth="1"/>
    <col min="7" max="7" width="16.33203125" style="2" customWidth="1"/>
    <col min="8" max="8" width="10.5" style="2" customWidth="1"/>
    <col min="9" max="9" width="10.1640625" customWidth="1"/>
    <col min="10" max="10" width="10.83203125" style="6"/>
    <col min="14" max="14" width="15.5" bestFit="1" customWidth="1"/>
  </cols>
  <sheetData>
    <row r="1" spans="1:14" x14ac:dyDescent="0.2">
      <c r="A1" s="1" t="s">
        <v>0</v>
      </c>
    </row>
    <row r="2" spans="1:14" x14ac:dyDescent="0.2">
      <c r="A2" s="1" t="s">
        <v>2</v>
      </c>
      <c r="B2" s="1" t="s">
        <v>5</v>
      </c>
      <c r="C2" s="1" t="s">
        <v>3</v>
      </c>
      <c r="D2" s="4" t="s">
        <v>24</v>
      </c>
      <c r="E2" s="1" t="s">
        <v>22</v>
      </c>
      <c r="F2" s="1" t="s">
        <v>23</v>
      </c>
      <c r="G2" s="1" t="s">
        <v>4</v>
      </c>
      <c r="H2" s="1" t="s">
        <v>28</v>
      </c>
      <c r="I2" s="1" t="s">
        <v>27</v>
      </c>
      <c r="K2" s="1" t="s">
        <v>1</v>
      </c>
      <c r="L2" s="1" t="s">
        <v>30</v>
      </c>
      <c r="M2" s="1" t="s">
        <v>31</v>
      </c>
      <c r="N2" s="1" t="s">
        <v>32</v>
      </c>
    </row>
    <row r="3" spans="1:14" x14ac:dyDescent="0.2">
      <c r="A3"/>
      <c r="I3" s="2"/>
      <c r="K3" s="2"/>
    </row>
    <row r="4" spans="1:14" x14ac:dyDescent="0.2">
      <c r="A4"/>
      <c r="I4" s="2"/>
      <c r="K4" s="2"/>
    </row>
    <row r="5" spans="1:14" x14ac:dyDescent="0.2">
      <c r="A5"/>
      <c r="K5" s="2"/>
    </row>
    <row r="6" spans="1:14" x14ac:dyDescent="0.2">
      <c r="A6"/>
      <c r="I6" s="2"/>
      <c r="K6" s="2"/>
    </row>
    <row r="7" spans="1:14" x14ac:dyDescent="0.2">
      <c r="A7"/>
      <c r="I7" s="2"/>
      <c r="K7" s="2"/>
    </row>
    <row r="8" spans="1:14" x14ac:dyDescent="0.2">
      <c r="A8"/>
      <c r="K8" s="2"/>
    </row>
    <row r="9" spans="1:14" x14ac:dyDescent="0.2">
      <c r="A9"/>
      <c r="I9" s="2"/>
      <c r="K9" s="2"/>
    </row>
    <row r="10" spans="1:14" x14ac:dyDescent="0.2">
      <c r="A10"/>
      <c r="I10" s="2"/>
      <c r="K10" s="2"/>
    </row>
    <row r="11" spans="1:14" x14ac:dyDescent="0.2">
      <c r="A11"/>
      <c r="K11" s="2"/>
    </row>
    <row r="12" spans="1:14" x14ac:dyDescent="0.2">
      <c r="A12"/>
      <c r="I12" s="2"/>
      <c r="K12" s="2"/>
    </row>
    <row r="13" spans="1:14" x14ac:dyDescent="0.2">
      <c r="A13"/>
      <c r="I13" s="2"/>
      <c r="K13" s="2"/>
    </row>
    <row r="14" spans="1:14" x14ac:dyDescent="0.2">
      <c r="K14" s="2"/>
    </row>
    <row r="15" spans="1:14" x14ac:dyDescent="0.2">
      <c r="K15" s="2"/>
    </row>
    <row r="16" spans="1:14" x14ac:dyDescent="0.2">
      <c r="A16" s="1" t="s">
        <v>29</v>
      </c>
      <c r="K16" s="2"/>
    </row>
    <row r="17" spans="1:14" x14ac:dyDescent="0.2">
      <c r="A17" s="3" t="e">
        <f ca="1">INDIRECT("Participants!B"&amp;SUM(K17+1))</f>
        <v>#VALUE!</v>
      </c>
      <c r="B17" s="2">
        <v>1</v>
      </c>
      <c r="C17" s="2" t="e">
        <f ca="1">IF(N17 = N18, IF(RANDBETWEEN(0, 1), "White", "Black"), IF(N17 &gt; N18, "Black", "White"))</f>
        <v>#N/A</v>
      </c>
      <c r="E17" s="2" t="e">
        <f>SUM(INDEX('Rd6'!$E$3:$E$27, MATCH(K17, 'Rd6'!$K$3:$K$27, 0),1), IF(LEN(D17)=0, 0, IF(D17="W", 1, 0)))</f>
        <v>#N/A</v>
      </c>
      <c r="F17" s="2" t="e">
        <f>SUM(INDEX('Rd6'!$F$3:$F$27, MATCH(K17, 'Rd6'!$K$3:$K$27, 0),1), IF(LEN(D17)=0, 0, IF(D17="L", 1, 0)))</f>
        <v>#N/A</v>
      </c>
      <c r="G17" s="2" t="e">
        <f t="shared" ref="G17:G18" si="0">E17&amp;" - "&amp;F17</f>
        <v>#N/A</v>
      </c>
      <c r="H17" s="2" t="e">
        <f ca="1">SUM(INDEX('Rd6'!$H$3:$H$27, MATCH(K17, 'Rd6'!$K$3:$K$27, 0),1), IF(C17="White",1,0))</f>
        <v>#N/A</v>
      </c>
      <c r="I17" s="2" t="e">
        <f ca="1">SUM(INDEX('Rd6'!$I$3:$I$27, MATCH(K17, 'Rd6'!$K$3:$K$27, 0),1), IF(C17="Black",1,0))</f>
        <v>#N/A</v>
      </c>
      <c r="K17" s="2" t="str">
        <f>'Rd6'!M$3</f>
        <v/>
      </c>
      <c r="L17" t="str">
        <f>IF(LEN(D17)=0,"",IF(D17="W", K17,K18))</f>
        <v/>
      </c>
      <c r="M17" t="str">
        <f>IF(LEN(D17)=0,"",IF(D17="W", K18,K17))</f>
        <v/>
      </c>
      <c r="N17" t="e">
        <f ca="1">INDEX('Rd6'!$H$3:$H$27, MATCH(K17, 'Rd6'!$K$3:$K$27, 0),1)</f>
        <v>#N/A</v>
      </c>
    </row>
    <row r="18" spans="1:14" x14ac:dyDescent="0.2">
      <c r="A18" s="3" t="e">
        <f ca="1">INDIRECT("Participants!B"&amp;SUM(K18+1))</f>
        <v>#VALUE!</v>
      </c>
      <c r="B18" s="2">
        <v>1</v>
      </c>
      <c r="C18" s="2" t="e">
        <f ca="1">IF(C17="White", "Black", "White")</f>
        <v>#N/A</v>
      </c>
      <c r="D18" s="2" t="str">
        <f>IF(ISBLANK(D17),"",IF(D17="W","L","W"))</f>
        <v/>
      </c>
      <c r="E18" s="2" t="e">
        <f>SUM(INDEX('Rd6'!$E$3:$E$27, MATCH(K18, 'Rd6'!$K$3:$K$27, 0),1), IF(LEN(D18)=0, 0, IF(D18="W", 1, 0)))</f>
        <v>#N/A</v>
      </c>
      <c r="F18" s="2" t="e">
        <f>SUM(INDEX('Rd6'!$F$3:$F$27, MATCH(K18, 'Rd6'!$K$3:$K$27, 0),1), IF(LEN(D18)=0, 0, IF(D18="L", 1, 0)))</f>
        <v>#N/A</v>
      </c>
      <c r="G18" s="2" t="e">
        <f t="shared" si="0"/>
        <v>#N/A</v>
      </c>
      <c r="H18" s="2" t="e">
        <f ca="1">SUM(INDEX('Rd6'!$H$3:$H$27, MATCH(K18, 'Rd6'!$K$3:$K$27, 0),1), IF(C18="White",1,0))</f>
        <v>#N/A</v>
      </c>
      <c r="I18" s="2" t="e">
        <f ca="1">SUM(INDEX('Rd6'!$I$3:$I$27, MATCH(K18, 'Rd6'!$K$3:$K$27, 0),1), IF(C18="Black",1,0))</f>
        <v>#N/A</v>
      </c>
      <c r="K18" s="2" t="str">
        <f>'Rd6'!L$17</f>
        <v/>
      </c>
      <c r="L18" t="str">
        <f>IF(LEN(D18)=0,"",IF(D18="W", K18,K17))</f>
        <v/>
      </c>
      <c r="M18" t="str">
        <f>IF(LEN(D18)=0,"",IF(D18="W", K17,K18))</f>
        <v/>
      </c>
      <c r="N18" t="e">
        <f ca="1">INDEX('Rd6'!$H$3:$H$27, MATCH(K18, 'Rd6'!$K$3:$K$27, 0),1)</f>
        <v>#N/A</v>
      </c>
    </row>
    <row r="19" spans="1:14" x14ac:dyDescent="0.2">
      <c r="K19" s="2"/>
    </row>
    <row r="20" spans="1:14" x14ac:dyDescent="0.2">
      <c r="A20"/>
      <c r="I20" s="2"/>
      <c r="K20" s="2"/>
    </row>
    <row r="21" spans="1:14" x14ac:dyDescent="0.2">
      <c r="A21"/>
      <c r="I21" s="2"/>
      <c r="K21" s="2"/>
    </row>
    <row r="22" spans="1:14" x14ac:dyDescent="0.2">
      <c r="K22" s="2"/>
    </row>
    <row r="23" spans="1:14" x14ac:dyDescent="0.2">
      <c r="A23"/>
      <c r="I23" s="2"/>
      <c r="K23" s="2"/>
    </row>
    <row r="24" spans="1:14" x14ac:dyDescent="0.2">
      <c r="A24"/>
      <c r="I24" s="2"/>
      <c r="K24" s="2"/>
    </row>
    <row r="25" spans="1:14" x14ac:dyDescent="0.2">
      <c r="A25"/>
      <c r="K25" s="2"/>
    </row>
    <row r="26" spans="1:14" x14ac:dyDescent="0.2">
      <c r="A26"/>
      <c r="I26" s="2"/>
      <c r="K26" s="2"/>
    </row>
    <row r="27" spans="1:14" x14ac:dyDescent="0.2">
      <c r="A27"/>
      <c r="I27" s="2"/>
      <c r="K27" s="2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2080C3D-FD96-124C-AA47-721986CCB692}">
          <x14:formula1>
            <xm:f>Utils!$A$2:$A$3</xm:f>
          </x14:formula1>
          <xm:sqref>D23 D26 D9 D12 D17 D20 D6 D3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11747-1E0E-0643-A9C3-EA25988C8874}">
  <sheetPr codeName="Sheet11"/>
  <dimension ref="A1:N27"/>
  <sheetViews>
    <sheetView zoomScale="140" zoomScaleNormal="140" workbookViewId="0">
      <selection activeCell="D3" sqref="D3"/>
    </sheetView>
  </sheetViews>
  <sheetFormatPr baseColWidth="10" defaultRowHeight="16" x14ac:dyDescent="0.2"/>
  <cols>
    <col min="1" max="1" width="23.5" style="2" customWidth="1"/>
    <col min="2" max="2" width="17.83203125" style="2" customWidth="1"/>
    <col min="3" max="5" width="17.6640625" style="2" bestFit="1" customWidth="1"/>
    <col min="6" max="6" width="15.1640625" style="2" customWidth="1"/>
    <col min="7" max="7" width="16.33203125" style="2" customWidth="1"/>
    <col min="8" max="8" width="10.5" style="2" customWidth="1"/>
    <col min="9" max="9" width="10.1640625" customWidth="1"/>
    <col min="10" max="10" width="10.83203125" style="6"/>
    <col min="14" max="14" width="15.5" bestFit="1" customWidth="1"/>
  </cols>
  <sheetData>
    <row r="1" spans="1:14" x14ac:dyDescent="0.2">
      <c r="A1" s="1" t="s">
        <v>0</v>
      </c>
    </row>
    <row r="2" spans="1:14" x14ac:dyDescent="0.2">
      <c r="A2" s="1" t="s">
        <v>2</v>
      </c>
      <c r="B2" s="1" t="s">
        <v>5</v>
      </c>
      <c r="C2" s="1" t="s">
        <v>3</v>
      </c>
      <c r="D2" s="4" t="s">
        <v>24</v>
      </c>
      <c r="E2" s="1" t="s">
        <v>22</v>
      </c>
      <c r="F2" s="1" t="s">
        <v>23</v>
      </c>
      <c r="G2" s="1" t="s">
        <v>4</v>
      </c>
      <c r="H2" s="1" t="s">
        <v>28</v>
      </c>
      <c r="I2" s="1" t="s">
        <v>27</v>
      </c>
      <c r="K2" s="1" t="s">
        <v>1</v>
      </c>
      <c r="L2" s="1" t="s">
        <v>30</v>
      </c>
      <c r="M2" s="1" t="s">
        <v>31</v>
      </c>
      <c r="N2" s="1" t="s">
        <v>32</v>
      </c>
    </row>
    <row r="3" spans="1:14" x14ac:dyDescent="0.2">
      <c r="A3" s="3" t="e">
        <f ca="1">INDIRECT("Participants!B"&amp;SUM(K3+1))</f>
        <v>#VALUE!</v>
      </c>
      <c r="B3" s="2">
        <v>1</v>
      </c>
      <c r="C3" s="2" t="e">
        <f ca="1">IF(N3 = N4, IF(RANDBETWEEN(0, 1), "White", "Black"), IF(N3 &gt; N4, "Black", "White"))</f>
        <v>#N/A</v>
      </c>
      <c r="E3" s="2" t="e">
        <f>SUM(INDEX('Rd6'!$E$3:$E$27, MATCH(K3, 'Rd6'!$K$3:$K$27, 0),1), IF(LEN(D3)=0, 0, IF(D3="W", 1, 0)))</f>
        <v>#N/A</v>
      </c>
      <c r="F3" s="2" t="e">
        <f>SUM(INDEX('Rd6'!$F$3:$F$27, MATCH(K3, 'Rd6'!$K$3:$K$27, 0),1), IF(LEN(D3)=0, 0, IF(D3="L", 1, 0)))</f>
        <v>#N/A</v>
      </c>
      <c r="G3" s="2" t="e">
        <f t="shared" ref="G3:G4" si="0">E3&amp;" - "&amp;F3</f>
        <v>#N/A</v>
      </c>
      <c r="H3" s="2" t="e">
        <f ca="1">SUM(INDEX('Rd6'!$H$3:$H$27, MATCH(K3, 'Rd6'!$K$3:$K$27, 0),1), IF(C3="White",1,0))</f>
        <v>#N/A</v>
      </c>
      <c r="I3" s="2" t="e">
        <f ca="1">SUM(INDEX('Rd6'!$I$3:$I$27, MATCH(K3, 'Rd6'!$K$3:$K$27, 0),1), IF(C3="Black",1,0))</f>
        <v>#N/A</v>
      </c>
      <c r="K3" s="2" t="str">
        <f>'Rd6'!L$3</f>
        <v/>
      </c>
      <c r="L3" t="str">
        <f>IF(LEN(D3)=0,"",IF(D3="W", K3,K4))</f>
        <v/>
      </c>
      <c r="M3" t="str">
        <f>IF(LEN(D3)=0,"",IF(D3="W", K4,K3))</f>
        <v/>
      </c>
      <c r="N3" t="e">
        <f ca="1">INDEX('Rd6'!$H$3:$H$27, MATCH(K3, 'Rd6'!$K$3:$K$27, 0),1)</f>
        <v>#N/A</v>
      </c>
    </row>
    <row r="4" spans="1:14" x14ac:dyDescent="0.2">
      <c r="A4" s="3" t="e">
        <f ca="1">INDIRECT("Participants!B"&amp;SUM(K4+1))</f>
        <v>#VALUE!</v>
      </c>
      <c r="B4" s="2">
        <v>1</v>
      </c>
      <c r="C4" s="2" t="e">
        <f ca="1">IF(C3="White", "Black", "White")</f>
        <v>#N/A</v>
      </c>
      <c r="D4" s="2" t="str">
        <f>IF(ISBLANK(D3),"",IF(D3="W","L","W"))</f>
        <v/>
      </c>
      <c r="E4" s="2" t="e">
        <f>SUM(INDEX('Rd7'!$E$3:$E$27, MATCH(K4, 'Rd7'!$K$3:$K$27, 0),1), IF(LEN(D4)=0, 0, IF(D4="W", 1, 0)))</f>
        <v>#N/A</v>
      </c>
      <c r="F4" s="2" t="e">
        <f>SUM(INDEX('Rd7'!$F$3:$F$27, MATCH(K4, 'Rd7'!$K$3:$K$27, 0),1), IF(LEN(D4)=0, 0, IF(D4="L", 1, 0)))</f>
        <v>#N/A</v>
      </c>
      <c r="G4" s="2" t="e">
        <f t="shared" si="0"/>
        <v>#N/A</v>
      </c>
      <c r="H4" s="2" t="e">
        <f ca="1">SUM(INDEX('Rd7'!$H$3:$H$27, MATCH(K4, 'Rd7'!$K$3:$K$27, 0),1), IF(C4="White",1,0))</f>
        <v>#N/A</v>
      </c>
      <c r="I4" s="2" t="e">
        <f ca="1">SUM(INDEX('Rd7'!$I$3:$I$27, MATCH(K4, 'Rd7'!$K$3:$K$27, 0),1), IF(C4="Black",1,0))</f>
        <v>#N/A</v>
      </c>
      <c r="K4" s="2" t="str">
        <f>'Rd7'!L$17</f>
        <v/>
      </c>
      <c r="L4" t="str">
        <f>IF(LEN(D4)=0,"",IF(D4="W", K4,K3))</f>
        <v/>
      </c>
      <c r="M4" t="str">
        <f>IF(LEN(D4)=0,"",IF(D4="W", K3,K4))</f>
        <v/>
      </c>
      <c r="N4" t="e">
        <f ca="1">INDEX('Rd7'!$H$3:$H$27, MATCH(K4, 'Rd7'!$K$3:$K$27, 0),1)</f>
        <v>#N/A</v>
      </c>
    </row>
    <row r="5" spans="1:14" x14ac:dyDescent="0.2">
      <c r="A5"/>
      <c r="K5" s="2"/>
    </row>
    <row r="6" spans="1:14" x14ac:dyDescent="0.2">
      <c r="A6"/>
      <c r="I6" s="2"/>
      <c r="K6" s="2"/>
    </row>
    <row r="7" spans="1:14" x14ac:dyDescent="0.2">
      <c r="A7"/>
      <c r="I7" s="2"/>
      <c r="K7" s="2"/>
    </row>
    <row r="8" spans="1:14" x14ac:dyDescent="0.2">
      <c r="A8"/>
      <c r="K8" s="2"/>
    </row>
    <row r="9" spans="1:14" x14ac:dyDescent="0.2">
      <c r="A9"/>
      <c r="I9" s="2"/>
      <c r="K9" s="2"/>
    </row>
    <row r="10" spans="1:14" x14ac:dyDescent="0.2">
      <c r="A10"/>
      <c r="I10" s="2"/>
      <c r="K10" s="2"/>
    </row>
    <row r="11" spans="1:14" x14ac:dyDescent="0.2">
      <c r="A11"/>
      <c r="K11" s="2"/>
    </row>
    <row r="12" spans="1:14" x14ac:dyDescent="0.2">
      <c r="A12"/>
      <c r="I12" s="2"/>
      <c r="K12" s="2"/>
    </row>
    <row r="13" spans="1:14" x14ac:dyDescent="0.2">
      <c r="A13"/>
      <c r="I13" s="2"/>
      <c r="K13" s="2"/>
    </row>
    <row r="14" spans="1:14" x14ac:dyDescent="0.2">
      <c r="K14" s="2"/>
    </row>
    <row r="15" spans="1:14" x14ac:dyDescent="0.2">
      <c r="K15" s="2"/>
    </row>
    <row r="16" spans="1:14" x14ac:dyDescent="0.2">
      <c r="A16" s="1" t="s">
        <v>29</v>
      </c>
      <c r="K16" s="2"/>
    </row>
    <row r="17" spans="1:11" x14ac:dyDescent="0.2">
      <c r="A17"/>
      <c r="I17" s="2"/>
      <c r="K17" s="2"/>
    </row>
    <row r="18" spans="1:11" x14ac:dyDescent="0.2">
      <c r="A18"/>
      <c r="I18" s="2"/>
      <c r="K18" s="2"/>
    </row>
    <row r="19" spans="1:11" x14ac:dyDescent="0.2">
      <c r="K19" s="2"/>
    </row>
    <row r="20" spans="1:11" x14ac:dyDescent="0.2">
      <c r="A20"/>
      <c r="I20" s="2"/>
      <c r="K20" s="2"/>
    </row>
    <row r="21" spans="1:11" x14ac:dyDescent="0.2">
      <c r="A21"/>
      <c r="I21" s="2"/>
      <c r="K21" s="2"/>
    </row>
    <row r="22" spans="1:11" x14ac:dyDescent="0.2">
      <c r="K22" s="2"/>
    </row>
    <row r="23" spans="1:11" x14ac:dyDescent="0.2">
      <c r="A23"/>
      <c r="I23" s="2"/>
      <c r="K23" s="2"/>
    </row>
    <row r="24" spans="1:11" x14ac:dyDescent="0.2">
      <c r="A24"/>
      <c r="I24" s="2"/>
      <c r="K24" s="2"/>
    </row>
    <row r="25" spans="1:11" x14ac:dyDescent="0.2">
      <c r="A25"/>
      <c r="K25" s="2"/>
    </row>
    <row r="26" spans="1:11" x14ac:dyDescent="0.2">
      <c r="A26"/>
      <c r="I26" s="2"/>
      <c r="K26" s="2"/>
    </row>
    <row r="27" spans="1:11" x14ac:dyDescent="0.2">
      <c r="A27"/>
      <c r="I27" s="2"/>
      <c r="K27" s="2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7D4565-3B50-2446-81EC-529F97DC9D59}">
          <x14:formula1>
            <xm:f>Utils!$A$2:$A$3</xm:f>
          </x14:formula1>
          <xm:sqref>D23 D26 D9 D12 D17 D20 D6 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03CCD-CB43-EE4C-8BFE-735BD4011D7F}">
  <sheetPr codeName="Sheet4"/>
  <dimension ref="A1:A3"/>
  <sheetViews>
    <sheetView zoomScale="130" zoomScaleNormal="130" workbookViewId="0">
      <selection activeCell="A4" sqref="A4"/>
    </sheetView>
  </sheetViews>
  <sheetFormatPr baseColWidth="10" defaultRowHeight="16" x14ac:dyDescent="0.2"/>
  <cols>
    <col min="1" max="1" width="29" customWidth="1"/>
  </cols>
  <sheetData>
    <row r="1" spans="1:1" x14ac:dyDescent="0.2">
      <c r="A1" s="5" t="s">
        <v>25</v>
      </c>
    </row>
    <row r="2" spans="1:1" x14ac:dyDescent="0.2">
      <c r="A2" t="s">
        <v>26</v>
      </c>
    </row>
    <row r="3" spans="1:1" x14ac:dyDescent="0.2">
      <c r="A3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Participants</vt:lpstr>
      <vt:lpstr>Rd1</vt:lpstr>
      <vt:lpstr>Rd2</vt:lpstr>
      <vt:lpstr>Rd3</vt:lpstr>
      <vt:lpstr>Rd4</vt:lpstr>
      <vt:lpstr>Rd5</vt:lpstr>
      <vt:lpstr>Rd6</vt:lpstr>
      <vt:lpstr>Rd7</vt:lpstr>
      <vt:lpstr>Rd8</vt:lpstr>
      <vt:lpstr>Utils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Adithya Solai</dc:creator>
  <cp:lastModifiedBy>Adithya Solai</cp:lastModifiedBy>
  <dcterms:created xsi:type="dcterms:W3CDTF">2023-02-12T07:05:53Z</dcterms:created>
  <dcterms:modified xsi:type="dcterms:W3CDTF">2023-02-20T04:33:41Z</dcterms:modified>
</cp:coreProperties>
</file>